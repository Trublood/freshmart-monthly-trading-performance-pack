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ara\OneDrive\Desktop\"/>
    </mc:Choice>
  </mc:AlternateContent>
  <xr:revisionPtr revIDLastSave="0" documentId="13_ncr:1_{0EFA7588-8924-432E-98EB-F8F633CCB486}" xr6:coauthVersionLast="47" xr6:coauthVersionMax="47" xr10:uidLastSave="{00000000-0000-0000-0000-000000000000}"/>
  <bookViews>
    <workbookView xWindow="-108" yWindow="-108" windowWidth="23256" windowHeight="12456" tabRatio="709" activeTab="3" xr2:uid="{DEF39CF0-72DD-4850-B908-DE8B53AB5046}"/>
  </bookViews>
  <sheets>
    <sheet name="Executive Summary" sheetId="1" r:id="rId1"/>
    <sheet name="Store Performance" sheetId="3" r:id="rId2"/>
    <sheet name="Trading Performance" sheetId="2" r:id="rId3"/>
    <sheet name="tblStoreMonthly" sheetId="11" r:id="rId4"/>
    <sheet name="tblCompanyMonthly" sheetId="12" r:id="rId5"/>
    <sheet name="Data" sheetId="6" r:id="rId6"/>
  </sheets>
  <definedNames>
    <definedName name="AA">Data!$A$1</definedName>
    <definedName name="ExternalData_1" localSheetId="4" hidden="1">tblCompanyMonthly!$A$1:$T$13</definedName>
    <definedName name="ExternalData_2" localSheetId="3" hidden="1">tblStoreMonthly!$A$1:$L$291</definedName>
    <definedName name="ReportingNames">Data!$A$2:$A$13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  <c r="B5" i="1"/>
  <c r="C12" i="1"/>
  <c r="D12" i="1"/>
  <c r="C5" i="1"/>
  <c r="B2" i="3"/>
  <c r="A5" i="3" a="1"/>
  <c r="M10" i="2" a="1"/>
  <c r="M10" i="2" s="1"/>
  <c r="C6" i="2" a="1"/>
  <c r="C6" i="2" s="1"/>
  <c r="D6" i="2" a="1"/>
  <c r="D6" i="2" s="1"/>
  <c r="B6" i="2" a="1"/>
  <c r="B6" i="2" s="1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 s="1"/>
  <c r="I13" i="2" a="1"/>
  <c r="I13" i="2" s="1"/>
  <c r="J13" i="2" a="1"/>
  <c r="J13" i="2" s="1"/>
  <c r="K13" i="2" a="1"/>
  <c r="K13" i="2" s="1"/>
  <c r="L13" i="2" a="1"/>
  <c r="L13" i="2" s="1"/>
  <c r="M13" i="2" a="1"/>
  <c r="M13" i="2" s="1"/>
  <c r="B13" i="2" a="1"/>
  <c r="B13" i="2" s="1"/>
  <c r="C12" i="2" a="1"/>
  <c r="C12" i="2" s="1"/>
  <c r="D12" i="2" a="1"/>
  <c r="D12" i="2" s="1"/>
  <c r="E12" i="2" a="1"/>
  <c r="E12" i="2" s="1"/>
  <c r="F12" i="2" a="1"/>
  <c r="F12" i="2" s="1"/>
  <c r="G12" i="2" a="1"/>
  <c r="G12" i="2" s="1"/>
  <c r="H12" i="2" a="1"/>
  <c r="H12" i="2" s="1"/>
  <c r="I12" i="2" a="1"/>
  <c r="I12" i="2" s="1"/>
  <c r="J12" i="2" a="1"/>
  <c r="J12" i="2" s="1"/>
  <c r="K12" i="2" a="1"/>
  <c r="K12" i="2" s="1"/>
  <c r="L12" i="2" a="1"/>
  <c r="L12" i="2" s="1"/>
  <c r="M12" i="2" a="1"/>
  <c r="M12" i="2" s="1"/>
  <c r="B12" i="2" a="1"/>
  <c r="B12" i="2" s="1"/>
  <c r="C11" i="2" a="1"/>
  <c r="C11" i="2" s="1"/>
  <c r="D11" i="2" a="1"/>
  <c r="D11" i="2" s="1"/>
  <c r="E11" i="2" a="1"/>
  <c r="E11" i="2" s="1"/>
  <c r="F11" i="2" a="1"/>
  <c r="F11" i="2" s="1"/>
  <c r="G11" i="2" a="1"/>
  <c r="G11" i="2" s="1"/>
  <c r="H11" i="2" a="1"/>
  <c r="H11" i="2" s="1"/>
  <c r="I11" i="2" a="1"/>
  <c r="I11" i="2" s="1"/>
  <c r="J11" i="2" a="1"/>
  <c r="J11" i="2" s="1"/>
  <c r="K11" i="2" a="1"/>
  <c r="K11" i="2" s="1"/>
  <c r="L11" i="2" a="1"/>
  <c r="L11" i="2" s="1"/>
  <c r="M11" i="2" a="1"/>
  <c r="M11" i="2" s="1"/>
  <c r="B11" i="2" a="1"/>
  <c r="B11" i="2" s="1"/>
  <c r="C10" i="2" a="1"/>
  <c r="C10" i="2" s="1"/>
  <c r="D10" i="2" a="1"/>
  <c r="D10" i="2" s="1"/>
  <c r="E10" i="2" a="1"/>
  <c r="E10" i="2" s="1"/>
  <c r="F10" i="2" a="1"/>
  <c r="F10" i="2" s="1"/>
  <c r="G10" i="2" a="1"/>
  <c r="G10" i="2" s="1"/>
  <c r="H10" i="2" a="1"/>
  <c r="H10" i="2" s="1"/>
  <c r="I10" i="2" a="1"/>
  <c r="I10" i="2" s="1"/>
  <c r="J10" i="2" a="1"/>
  <c r="J10" i="2" s="1"/>
  <c r="K10" i="2" a="1"/>
  <c r="K10" i="2"/>
  <c r="L10" i="2" a="1"/>
  <c r="L10" i="2" s="1"/>
  <c r="B10" i="2" a="1"/>
  <c r="B10" i="2" s="1"/>
  <c r="C9" i="2" a="1"/>
  <c r="C9" i="2" s="1"/>
  <c r="D9" i="2" a="1"/>
  <c r="D9" i="2" s="1"/>
  <c r="E9" i="2" a="1"/>
  <c r="E9" i="2" s="1"/>
  <c r="F9" i="2" a="1"/>
  <c r="F9" i="2" s="1"/>
  <c r="G9" i="2" a="1"/>
  <c r="G9" i="2" s="1"/>
  <c r="H9" i="2" a="1"/>
  <c r="H9" i="2" s="1"/>
  <c r="I9" i="2" a="1"/>
  <c r="I9" i="2" s="1"/>
  <c r="J9" i="2" a="1"/>
  <c r="J9" i="2" s="1"/>
  <c r="K9" i="2" a="1"/>
  <c r="K9" i="2" s="1"/>
  <c r="L9" i="2" a="1"/>
  <c r="L9" i="2" s="1"/>
  <c r="M9" i="2" a="1"/>
  <c r="M9" i="2" s="1"/>
  <c r="B9" i="2" a="1"/>
  <c r="B9" i="2" s="1"/>
  <c r="C8" i="2" a="1"/>
  <c r="C8" i="2" s="1"/>
  <c r="D8" i="2" a="1"/>
  <c r="D8" i="2" s="1"/>
  <c r="E8" i="2" a="1"/>
  <c r="E8" i="2" s="1"/>
  <c r="F8" i="2" a="1"/>
  <c r="F8" i="2" s="1"/>
  <c r="G8" i="2" a="1"/>
  <c r="G8" i="2" s="1"/>
  <c r="H8" i="2" a="1"/>
  <c r="H8" i="2" s="1"/>
  <c r="I8" i="2" a="1"/>
  <c r="I8" i="2" s="1"/>
  <c r="J8" i="2" a="1"/>
  <c r="J8" i="2" s="1"/>
  <c r="K8" i="2" a="1"/>
  <c r="K8" i="2" s="1"/>
  <c r="L8" i="2" a="1"/>
  <c r="L8" i="2" s="1"/>
  <c r="M8" i="2" a="1"/>
  <c r="M8" i="2" s="1"/>
  <c r="B8" i="2" a="1"/>
  <c r="B8" i="2" s="1"/>
  <c r="E6" i="2" a="1"/>
  <c r="E6" i="2" s="1"/>
  <c r="F6" i="2" a="1"/>
  <c r="F6" i="2"/>
  <c r="G6" i="2" a="1"/>
  <c r="G6" i="2" s="1"/>
  <c r="H6" i="2" a="1"/>
  <c r="H6" i="2" s="1"/>
  <c r="I6" i="2" a="1"/>
  <c r="I6" i="2" s="1"/>
  <c r="J6" i="2" a="1"/>
  <c r="J6" i="2" s="1"/>
  <c r="K6" i="2" a="1"/>
  <c r="K6" i="2" s="1"/>
  <c r="L6" i="2" a="1"/>
  <c r="L6" i="2" s="1"/>
  <c r="M6" i="2" a="1"/>
  <c r="M6" i="2" s="1"/>
  <c r="C7" i="2" a="1"/>
  <c r="C7" i="2" s="1"/>
  <c r="D7" i="2" a="1"/>
  <c r="D7" i="2" s="1"/>
  <c r="E7" i="2" a="1"/>
  <c r="E7" i="2" s="1"/>
  <c r="F7" i="2" a="1"/>
  <c r="F7" i="2" s="1"/>
  <c r="G7" i="2" a="1"/>
  <c r="G7" i="2" s="1"/>
  <c r="H7" i="2" a="1"/>
  <c r="H7" i="2" s="1"/>
  <c r="I7" i="2" a="1"/>
  <c r="I7" i="2" s="1"/>
  <c r="J7" i="2" a="1"/>
  <c r="J7" i="2" s="1"/>
  <c r="K7" i="2" a="1"/>
  <c r="K7" i="2" s="1"/>
  <c r="L7" i="2" a="1"/>
  <c r="L7" i="2" s="1"/>
  <c r="M7" i="2" a="1"/>
  <c r="M7" i="2" s="1"/>
  <c r="B7" i="2" a="1"/>
  <c r="B7" i="2" s="1"/>
  <c r="C5" i="2" a="1"/>
  <c r="C5" i="2" s="1"/>
  <c r="D5" i="2" a="1"/>
  <c r="D5" i="2" s="1"/>
  <c r="E5" i="2" a="1"/>
  <c r="E5" i="2" s="1"/>
  <c r="F5" i="2" a="1"/>
  <c r="F5" i="2" s="1"/>
  <c r="G5" i="2" a="1"/>
  <c r="G5" i="2" s="1"/>
  <c r="H5" i="2" a="1"/>
  <c r="H5" i="2" s="1"/>
  <c r="I5" i="2" a="1"/>
  <c r="I5" i="2" s="1"/>
  <c r="J5" i="2" a="1"/>
  <c r="J5" i="2" s="1"/>
  <c r="K5" i="2" a="1"/>
  <c r="K5" i="2" s="1"/>
  <c r="L5" i="2" a="1"/>
  <c r="L5" i="2"/>
  <c r="M5" i="2" a="1"/>
  <c r="M5" i="2" s="1"/>
  <c r="B5" i="2" a="1"/>
  <c r="B5" i="2" s="1"/>
  <c r="E12" i="3" l="1" a="1"/>
  <c r="E12" i="3" s="1"/>
  <c r="D22" i="3" a="1"/>
  <c r="D22" i="3" s="1"/>
  <c r="C21" i="3"/>
  <c r="B21" i="3"/>
  <c r="B13" i="3"/>
  <c r="E9" i="3" a="1"/>
  <c r="E9" i="3" s="1"/>
  <c r="E19" i="3" a="1"/>
  <c r="E19" i="3" s="1"/>
  <c r="D23" i="3" a="1"/>
  <c r="D23" i="3" s="1"/>
  <c r="C22" i="3"/>
  <c r="B22" i="3"/>
  <c r="C15" i="3"/>
  <c r="B17" i="3"/>
  <c r="E23" i="3" a="1"/>
  <c r="E23" i="3" s="1"/>
  <c r="D24" i="3" a="1"/>
  <c r="D24" i="3" s="1"/>
  <c r="C23" i="3"/>
  <c r="B23" i="3"/>
  <c r="C24" i="3"/>
  <c r="B24" i="3"/>
  <c r="C12" i="3"/>
  <c r="B12" i="3"/>
  <c r="D18" i="3" a="1"/>
  <c r="D18" i="3" s="1"/>
  <c r="E24" i="3" a="1"/>
  <c r="E24" i="3" s="1"/>
  <c r="D25" i="3" a="1"/>
  <c r="D25" i="3" s="1"/>
  <c r="D21" i="3" a="1"/>
  <c r="D21" i="3" s="1"/>
  <c r="D6" i="3" a="1"/>
  <c r="D6" i="3" s="1"/>
  <c r="D26" i="3" a="1"/>
  <c r="D26" i="3" s="1"/>
  <c r="C25" i="3"/>
  <c r="B25" i="3"/>
  <c r="C13" i="3"/>
  <c r="B15" i="3"/>
  <c r="C17" i="3"/>
  <c r="D10" i="3" a="1"/>
  <c r="D10" i="3" s="1"/>
  <c r="C9" i="3"/>
  <c r="B9" i="3"/>
  <c r="D13" i="3" a="1"/>
  <c r="D13" i="3" s="1"/>
  <c r="D11" i="3" a="1"/>
  <c r="D11" i="3" s="1"/>
  <c r="C10" i="3"/>
  <c r="B10" i="3"/>
  <c r="F25" i="3" a="1"/>
  <c r="F25" i="3" s="1"/>
  <c r="D16" i="3" a="1"/>
  <c r="D16" i="3" s="1"/>
  <c r="F12" i="3" a="1"/>
  <c r="F12" i="3" s="1"/>
  <c r="G15" i="3" a="1"/>
  <c r="G15" i="3" s="1"/>
  <c r="B11" i="3"/>
  <c r="C11" i="3"/>
  <c r="D12" i="3" a="1"/>
  <c r="D12" i="3" s="1"/>
  <c r="H8" i="3" a="1"/>
  <c r="H8" i="3" s="1"/>
  <c r="H18" i="3" a="1"/>
  <c r="H18" i="3" s="1"/>
  <c r="G17" i="3" a="1"/>
  <c r="G17" i="3" s="1"/>
  <c r="G29" i="3" a="1"/>
  <c r="G29" i="3" s="1"/>
  <c r="F14" i="3" a="1"/>
  <c r="F14" i="3" s="1"/>
  <c r="F27" i="3" a="1"/>
  <c r="F27" i="3" s="1"/>
  <c r="E14" i="3" a="1"/>
  <c r="E14" i="3" s="1"/>
  <c r="E25" i="3" a="1"/>
  <c r="E25" i="3" s="1"/>
  <c r="H9" i="3" a="1"/>
  <c r="H9" i="3" s="1"/>
  <c r="H19" i="3" a="1"/>
  <c r="H19" i="3" s="1"/>
  <c r="G6" i="3" a="1"/>
  <c r="G6" i="3" s="1"/>
  <c r="G18" i="3" a="1"/>
  <c r="G18" i="3" s="1"/>
  <c r="F15" i="3" a="1"/>
  <c r="F15" i="3" s="1"/>
  <c r="F28" i="3" a="1"/>
  <c r="F28" i="3" s="1"/>
  <c r="E15" i="3" a="1"/>
  <c r="E15" i="3" s="1"/>
  <c r="E26" i="3" a="1"/>
  <c r="E26" i="3" s="1"/>
  <c r="H10" i="3" a="1"/>
  <c r="H10" i="3" s="1"/>
  <c r="H20" i="3" a="1"/>
  <c r="H20" i="3" s="1"/>
  <c r="G7" i="3" a="1"/>
  <c r="G7" i="3" s="1"/>
  <c r="G19" i="3" a="1"/>
  <c r="G19" i="3" s="1"/>
  <c r="F20" i="3" a="1"/>
  <c r="F20" i="3" s="1"/>
  <c r="F16" i="3" a="1"/>
  <c r="F16" i="3" s="1"/>
  <c r="E16" i="3" a="1"/>
  <c r="E16" i="3" s="1"/>
  <c r="E27" i="3" a="1"/>
  <c r="E27" i="3" s="1"/>
  <c r="D14" i="3" a="1"/>
  <c r="D14" i="3" s="1"/>
  <c r="B29" i="3"/>
  <c r="H21" i="3" a="1"/>
  <c r="H21" i="3" s="1"/>
  <c r="G8" i="3" a="1"/>
  <c r="G8" i="3" s="1"/>
  <c r="G20" i="3" a="1"/>
  <c r="G20" i="3" s="1"/>
  <c r="F29" i="3" a="1"/>
  <c r="F29" i="3" s="1"/>
  <c r="F17" i="3" a="1"/>
  <c r="F17" i="3" s="1"/>
  <c r="E6" i="3" a="1"/>
  <c r="E6" i="3" s="1"/>
  <c r="E28" i="3" a="1"/>
  <c r="E28" i="3" s="1"/>
  <c r="D15" i="3" a="1"/>
  <c r="D15" i="3" s="1"/>
  <c r="D27" i="3" a="1"/>
  <c r="D27" i="3" s="1"/>
  <c r="C14" i="3"/>
  <c r="C26" i="3"/>
  <c r="B14" i="3"/>
  <c r="B26" i="3"/>
  <c r="B27" i="3"/>
  <c r="H11" i="3" a="1"/>
  <c r="H11" i="3" s="1"/>
  <c r="H22" i="3" a="1"/>
  <c r="H22" i="3" s="1"/>
  <c r="G9" i="3" a="1"/>
  <c r="G9" i="3" s="1"/>
  <c r="G21" i="3" a="1"/>
  <c r="G21" i="3" s="1"/>
  <c r="F6" i="3" a="1"/>
  <c r="F6" i="3" s="1"/>
  <c r="F18" i="3" a="1"/>
  <c r="F18" i="3" s="1"/>
  <c r="E7" i="3" a="1"/>
  <c r="E7" i="3" s="1"/>
  <c r="E17" i="3" a="1"/>
  <c r="E17" i="3" s="1"/>
  <c r="E29" i="3" a="1"/>
  <c r="E29" i="3" s="1"/>
  <c r="D28" i="3" a="1"/>
  <c r="D28" i="3" s="1"/>
  <c r="C27" i="3"/>
  <c r="C29" i="3"/>
  <c r="H12" i="3" a="1"/>
  <c r="H12" i="3" s="1"/>
  <c r="H23" i="3" a="1"/>
  <c r="H23" i="3" s="1"/>
  <c r="G10" i="3" a="1"/>
  <c r="G10" i="3" s="1"/>
  <c r="G22" i="3" a="1"/>
  <c r="G22" i="3" s="1"/>
  <c r="F7" i="3" a="1"/>
  <c r="F7" i="3" s="1"/>
  <c r="F19" i="3" a="1"/>
  <c r="F19" i="3" s="1"/>
  <c r="E8" i="3" a="1"/>
  <c r="E8" i="3" s="1"/>
  <c r="E18" i="3" a="1"/>
  <c r="E18" i="3" s="1"/>
  <c r="D17" i="3" a="1"/>
  <c r="D17" i="3" s="1"/>
  <c r="D29" i="3" a="1"/>
  <c r="D29" i="3" s="1"/>
  <c r="C16" i="3"/>
  <c r="C28" i="3"/>
  <c r="B16" i="3"/>
  <c r="B28" i="3"/>
  <c r="H13" i="3" a="1"/>
  <c r="H13" i="3" s="1"/>
  <c r="H24" i="3" a="1"/>
  <c r="H24" i="3" s="1"/>
  <c r="G11" i="3" a="1"/>
  <c r="G11" i="3" s="1"/>
  <c r="G23" i="3" a="1"/>
  <c r="G23" i="3" s="1"/>
  <c r="F8" i="3" a="1"/>
  <c r="F8" i="3" s="1"/>
  <c r="F21" i="3" a="1"/>
  <c r="F21" i="3" s="1"/>
  <c r="H14" i="3" a="1"/>
  <c r="H14" i="3" s="1"/>
  <c r="H25" i="3" a="1"/>
  <c r="H25" i="3" s="1"/>
  <c r="G12" i="3" a="1"/>
  <c r="G12" i="3" s="1"/>
  <c r="G24" i="3" a="1"/>
  <c r="G24" i="3" s="1"/>
  <c r="F9" i="3" a="1"/>
  <c r="F9" i="3" s="1"/>
  <c r="F22" i="3" a="1"/>
  <c r="F22" i="3" s="1"/>
  <c r="E10" i="3" a="1"/>
  <c r="E10" i="3" s="1"/>
  <c r="E20" i="3" a="1"/>
  <c r="E20" i="3" s="1"/>
  <c r="D7" i="3" a="1"/>
  <c r="D7" i="3" s="1"/>
  <c r="D19" i="3" a="1"/>
  <c r="D19" i="3" s="1"/>
  <c r="C6" i="3"/>
  <c r="C18" i="3"/>
  <c r="B6" i="3"/>
  <c r="B18" i="3"/>
  <c r="C8" i="3"/>
  <c r="C20" i="3"/>
  <c r="B8" i="3"/>
  <c r="B20" i="3"/>
  <c r="H15" i="3" a="1"/>
  <c r="H15" i="3" s="1"/>
  <c r="H26" i="3" a="1"/>
  <c r="H26" i="3" s="1"/>
  <c r="G13" i="3" a="1"/>
  <c r="G13" i="3" s="1"/>
  <c r="G25" i="3" a="1"/>
  <c r="G25" i="3" s="1"/>
  <c r="F10" i="3" a="1"/>
  <c r="F10" i="3" s="1"/>
  <c r="F23" i="3" a="1"/>
  <c r="F23" i="3" s="1"/>
  <c r="E21" i="3" a="1"/>
  <c r="E21" i="3" s="1"/>
  <c r="D8" i="3" a="1"/>
  <c r="D8" i="3" s="1"/>
  <c r="D20" i="3" a="1"/>
  <c r="D20" i="3" s="1"/>
  <c r="C7" i="3"/>
  <c r="C19" i="3"/>
  <c r="B7" i="3"/>
  <c r="B19" i="3"/>
  <c r="E13" i="3" a="1"/>
  <c r="E13" i="3" s="1"/>
  <c r="F26" i="3" a="1"/>
  <c r="F26" i="3" s="1"/>
  <c r="F13" i="3" a="1"/>
  <c r="F13" i="3" s="1"/>
  <c r="G28" i="3" a="1"/>
  <c r="G28" i="3" s="1"/>
  <c r="G16" i="3" a="1"/>
  <c r="G16" i="3" s="1"/>
  <c r="H29" i="3" a="1"/>
  <c r="H29" i="3" s="1"/>
  <c r="H17" i="3" a="1"/>
  <c r="H17" i="3" s="1"/>
  <c r="H7" i="3" a="1"/>
  <c r="H7" i="3" s="1"/>
  <c r="H28" i="3" a="1"/>
  <c r="H28" i="3" s="1"/>
  <c r="H6" i="3" a="1"/>
  <c r="H6" i="3" s="1"/>
  <c r="D9" i="3" a="1"/>
  <c r="D9" i="3" s="1"/>
  <c r="E22" i="3" a="1"/>
  <c r="E22" i="3" s="1"/>
  <c r="E11" i="3" a="1"/>
  <c r="E11" i="3" s="1"/>
  <c r="F24" i="3" a="1"/>
  <c r="F24" i="3" s="1"/>
  <c r="F11" i="3" a="1"/>
  <c r="F11" i="3" s="1"/>
  <c r="G26" i="3" a="1"/>
  <c r="G26" i="3" s="1"/>
  <c r="G14" i="3" a="1"/>
  <c r="G14" i="3" s="1"/>
  <c r="H27" i="3" a="1"/>
  <c r="H27" i="3" s="1"/>
  <c r="H16" i="3" a="1"/>
  <c r="H16" i="3" s="1"/>
  <c r="G27" i="3" a="1"/>
  <c r="G27" i="3" s="1"/>
  <c r="A5" i="3"/>
  <c r="J18" i="3" l="1"/>
  <c r="J20" i="3"/>
  <c r="J6" i="3"/>
  <c r="J15" i="3"/>
  <c r="J11" i="3"/>
  <c r="J10" i="3"/>
  <c r="J17" i="3"/>
  <c r="J13" i="3"/>
  <c r="J26" i="3"/>
  <c r="J23" i="3"/>
  <c r="J12" i="3"/>
  <c r="J29" i="3"/>
  <c r="J24" i="3"/>
  <c r="J21" i="3"/>
  <c r="J27" i="3"/>
  <c r="J8" i="3"/>
  <c r="J7" i="3"/>
  <c r="J16" i="3"/>
  <c r="J19" i="3"/>
  <c r="J28" i="3"/>
  <c r="J9" i="3"/>
  <c r="J25" i="3"/>
  <c r="J14" i="3"/>
  <c r="J22" i="3"/>
  <c r="H5" i="3" a="1"/>
  <c r="H5" i="3" s="1"/>
  <c r="G5" i="3" a="1"/>
  <c r="G5" i="3" s="1"/>
  <c r="I7" i="3" s="1"/>
  <c r="F5" i="3" a="1"/>
  <c r="F5" i="3" s="1"/>
  <c r="E5" i="3" a="1"/>
  <c r="E5" i="3" s="1"/>
  <c r="D5" i="3" a="1"/>
  <c r="D5" i="3" s="1"/>
  <c r="C5" i="3"/>
  <c r="B5" i="3"/>
  <c r="J5" i="3" l="1"/>
  <c r="A33" i="3" a="1"/>
  <c r="D33" i="3" a="1"/>
  <c r="D33" i="3" s="1"/>
  <c r="D31" i="1" s="1"/>
  <c r="I29" i="3"/>
  <c r="I27" i="3"/>
  <c r="I28" i="3"/>
  <c r="I5" i="3"/>
  <c r="I15" i="3"/>
  <c r="I9" i="3"/>
  <c r="I25" i="3"/>
  <c r="I17" i="3"/>
  <c r="I12" i="3"/>
  <c r="I8" i="3"/>
  <c r="I16" i="3"/>
  <c r="I10" i="3"/>
  <c r="I14" i="3"/>
  <c r="I26" i="3"/>
  <c r="I11" i="3"/>
  <c r="I6" i="3"/>
  <c r="I24" i="3"/>
  <c r="I18" i="3"/>
  <c r="I20" i="3"/>
  <c r="I19" i="3"/>
  <c r="I23" i="3"/>
  <c r="I21" i="3"/>
  <c r="I22" i="3"/>
  <c r="I13" i="3"/>
  <c r="C7" i="1"/>
  <c r="D7" i="1"/>
  <c r="A12" i="1"/>
  <c r="D8" i="1"/>
  <c r="C6" i="1"/>
  <c r="D6" i="1"/>
  <c r="D5" i="1"/>
  <c r="B9" i="1"/>
  <c r="B6" i="1"/>
  <c r="B12" i="1"/>
  <c r="B7" i="1"/>
  <c r="E5" i="1"/>
  <c r="C9" i="1"/>
  <c r="B8" i="1"/>
  <c r="F5" i="1"/>
  <c r="D9" i="1"/>
  <c r="B32" i="1" l="1"/>
  <c r="B31" i="1"/>
  <c r="A33" i="3"/>
  <c r="A31" i="1" s="1"/>
  <c r="B33" i="1"/>
  <c r="A32" i="1"/>
  <c r="A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8E488-6FB3-4AEF-A5AB-3BE11C5E83E8}" keepAlive="1" name="Query - tblCompanyMonthly" description="Connection to the 'tblCompanyMonthly' query in the workbook." type="5" refreshedVersion="8" background="1" saveData="1">
    <dbPr connection="Provider=Microsoft.Mashup.OleDb.1;Data Source=$Workbook$;Location=tblCompanyMonthly;Extended Properties=&quot;&quot;" command="SELECT * FROM [tblCompanyMonthly]"/>
  </connection>
  <connection id="2" xr16:uid="{A375BD04-B839-4C2A-8B68-9B4D1A609C10}" keepAlive="1" name="Query - tblProfitability" description="Connection to the 'tblProfitability' query in the workbook." type="5" refreshedVersion="0" background="1">
    <dbPr connection="Provider=Microsoft.Mashup.OleDb.1;Data Source=$Workbook$;Location=tblProfitability;Extended Properties=&quot;&quot;" command="SELECT * FROM [tblProfitability]"/>
  </connection>
  <connection id="3" xr16:uid="{E563CBE1-46B9-4092-B5B6-4A413BA12C05}" keepAlive="1" name="Query - tblStoreMonthly(1)" description="Connection to the 'tblStoreMonthly' query in the workbook." type="5" refreshedVersion="8" background="1" saveData="1">
    <dbPr connection="Provider=Microsoft.Mashup.OleDb.1;Data Source=$Workbook$;Location=tblStoreMonthly;Extended Properties=&quot;&quot;" command="SELECT * FROM [tblStoreMonth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<sst xmlns="http://schemas.openxmlformats.org/spreadsheetml/2006/main" count="1561" uniqueCount="139">
  <si>
    <t>month_year</t>
  </si>
  <si>
    <t>store_id</t>
  </si>
  <si>
    <t>store_name</t>
  </si>
  <si>
    <t>store_format</t>
  </si>
  <si>
    <t>region</t>
  </si>
  <si>
    <t>net_sales</t>
  </si>
  <si>
    <t>previous_month_sales</t>
  </si>
  <si>
    <t>mom_sales_variance</t>
  </si>
  <si>
    <t>mom_sales_growth_pct</t>
  </si>
  <si>
    <t>sales_target</t>
  </si>
  <si>
    <t>sales_vs_target</t>
  </si>
  <si>
    <t>target_achievement_pct</t>
  </si>
  <si>
    <t>2025-01</t>
  </si>
  <si>
    <t>ST001</t>
  </si>
  <si>
    <t>FreshMart London 01</t>
  </si>
  <si>
    <t>Supermarket</t>
  </si>
  <si>
    <t>London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</si>
  <si>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</si>
  <si>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</si>
  <si>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</si>
  <si>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</si>
  <si>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</si>
  <si>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</si>
  <si>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</si>
  <si>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</si>
  <si>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</si>
  <si>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</si>
  <si>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</si>
  <si>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ST002</t>
  </si>
  <si>
    <t>FreshMart South East 02</t>
  </si>
  <si>
    <t>South East</t>
  </si>
  <si>
    <t>ST003</t>
  </si>
  <si>
    <t>FreshMart South West 03</t>
  </si>
  <si>
    <t>South West</t>
  </si>
  <si>
    <t>ST004</t>
  </si>
  <si>
    <t>FreshMart Midlands 04</t>
  </si>
  <si>
    <t>Midlands</t>
  </si>
  <si>
    <t>ST005</t>
  </si>
  <si>
    <t>FreshMart North West 05</t>
  </si>
  <si>
    <t>North West</t>
  </si>
  <si>
    <t>ST006</t>
  </si>
  <si>
    <t>FreshMart London 06</t>
  </si>
  <si>
    <t>ST007</t>
  </si>
  <si>
    <t>FreshMart South East 07</t>
  </si>
  <si>
    <t>ST008</t>
  </si>
  <si>
    <t>FreshMart South West 08</t>
  </si>
  <si>
    <t>ST009</t>
  </si>
  <si>
    <t>FreshMart Midlands 09</t>
  </si>
  <si>
    <t>ST010</t>
  </si>
  <si>
    <t>FreshMart North West 10</t>
  </si>
  <si>
    <t>ST011</t>
  </si>
  <si>
    <t>FreshMart London 11</t>
  </si>
  <si>
    <t>ST012</t>
  </si>
  <si>
    <t>FreshMart South East 12</t>
  </si>
  <si>
    <t>ST013</t>
  </si>
  <si>
    <t>FreshMart South West 13</t>
  </si>
  <si>
    <t>ST014</t>
  </si>
  <si>
    <t>FreshMart Midlands 14</t>
  </si>
  <si>
    <t>ST015</t>
  </si>
  <si>
    <t>FreshMart North West 15</t>
  </si>
  <si>
    <t>ST016</t>
  </si>
  <si>
    <t>FreshMart London 16</t>
  </si>
  <si>
    <t>ST017</t>
  </si>
  <si>
    <t>FreshMart South East 17</t>
  </si>
  <si>
    <t>ST018</t>
  </si>
  <si>
    <t>FreshMart South West 18</t>
  </si>
  <si>
    <t>ST019</t>
  </si>
  <si>
    <t>FreshMart Midlands 19</t>
  </si>
  <si>
    <t>Convenience</t>
  </si>
  <si>
    <t>ST020</t>
  </si>
  <si>
    <t>FreshMart North West 20</t>
  </si>
  <si>
    <t>ST021</t>
  </si>
  <si>
    <t>FreshMart London 21</t>
  </si>
  <si>
    <t>ST022</t>
  </si>
  <si>
    <t>FreshMart South East 22</t>
  </si>
  <si>
    <t>ST023</t>
  </si>
  <si>
    <t>FreshMart South West 23</t>
  </si>
  <si>
    <t>ST024</t>
  </si>
  <si>
    <t>FreshMart Midlands 24</t>
  </si>
  <si>
    <t>ST025</t>
  </si>
  <si>
    <t>FreshMart North West 25</t>
  </si>
  <si>
    <t>sales_mom_pct</t>
  </si>
  <si>
    <t>transactions</t>
  </si>
  <si>
    <t>transactions_mom_pct</t>
  </si>
  <si>
    <t>units_sold</t>
  </si>
  <si>
    <t>avg_transaction_value</t>
  </si>
  <si>
    <t>atv_mom_pct</t>
  </si>
  <si>
    <t>units_per_transaction</t>
  </si>
  <si>
    <t>upt_mom_pct</t>
  </si>
  <si>
    <t>avg_selling_price</t>
  </si>
  <si>
    <t>asp_mom_pct</t>
  </si>
  <si>
    <t>ytd_net_sales</t>
  </si>
  <si>
    <t>ytd_sales_target</t>
  </si>
  <si>
    <t>ytd_sales_vs_target</t>
  </si>
  <si>
    <t>ytd_target_achievement_pct</t>
  </si>
  <si>
    <t>2025 Trading Year</t>
  </si>
  <si>
    <t>KPI</t>
  </si>
  <si>
    <t>Net Sales</t>
  </si>
  <si>
    <t>MoM Sales %</t>
  </si>
  <si>
    <t>Sales Target</t>
  </si>
  <si>
    <t>Target Achievement %</t>
  </si>
  <si>
    <t>Transactions</t>
  </si>
  <si>
    <t>MoM Transactions %</t>
  </si>
  <si>
    <t>ATV</t>
  </si>
  <si>
    <t>UPT</t>
  </si>
  <si>
    <t>ASP</t>
  </si>
  <si>
    <t>Reporting Month</t>
  </si>
  <si>
    <t>Store</t>
  </si>
  <si>
    <t>Format</t>
  </si>
  <si>
    <t>Region</t>
  </si>
  <si>
    <t>MoM %</t>
  </si>
  <si>
    <t>Variance to Target</t>
  </si>
  <si>
    <t>Target Rank</t>
  </si>
  <si>
    <t>Management
Attention</t>
  </si>
  <si>
    <t>Stores</t>
  </si>
  <si>
    <t>Target Achievement</t>
  </si>
  <si>
    <t>Stores Requiring Attention</t>
  </si>
  <si>
    <t>Target %</t>
  </si>
  <si>
    <t>Reporting Months</t>
  </si>
  <si>
    <t>Current Month</t>
  </si>
  <si>
    <t>Previous Month</t>
  </si>
  <si>
    <t>Target</t>
  </si>
  <si>
    <t>Vs Target</t>
  </si>
  <si>
    <t>—</t>
  </si>
  <si>
    <t>YTD Net Sales</t>
  </si>
  <si>
    <t>YTD Target</t>
  </si>
  <si>
    <t>Sales Trend</t>
  </si>
  <si>
    <t>Management Commentary</t>
  </si>
  <si>
    <t>Target / YTD</t>
  </si>
  <si>
    <t>Area</t>
  </si>
  <si>
    <t>Trading</t>
  </si>
  <si>
    <t>Store Performance</t>
  </si>
  <si>
    <r>
      <rPr>
        <b/>
        <sz val="20"/>
        <color rgb="FF92D050"/>
        <rFont val="Aptos Narrow"/>
        <family val="2"/>
        <scheme val="minor"/>
      </rPr>
      <t xml:space="preserve">FreshMart </t>
    </r>
    <r>
      <rPr>
        <b/>
        <sz val="20"/>
        <color theme="0"/>
        <rFont val="Aptos Narrow"/>
        <family val="2"/>
        <scheme val="minor"/>
      </rPr>
      <t>Store Performance</t>
    </r>
  </si>
  <si>
    <r>
      <rPr>
        <b/>
        <sz val="20"/>
        <color theme="9" tint="0.39997558519241921"/>
        <rFont val="Aptos Narrow"/>
        <family val="2"/>
        <scheme val="minor"/>
      </rPr>
      <t>FreshMart</t>
    </r>
    <r>
      <rPr>
        <b/>
        <sz val="20"/>
        <color theme="0"/>
        <rFont val="Aptos Narrow"/>
        <family val="2"/>
        <scheme val="minor"/>
      </rPr>
      <t xml:space="preserve"> Monthly Trading Performance</t>
    </r>
  </si>
  <si>
    <r>
      <t xml:space="preserve">FreshMart </t>
    </r>
    <r>
      <rPr>
        <b/>
        <sz val="20"/>
        <color theme="0"/>
        <rFont val="Aptos Narrow"/>
        <family val="2"/>
        <scheme val="minor"/>
      </rPr>
      <t>Monthly Trading Performance Pack</t>
    </r>
  </si>
  <si>
    <t>Top Target Achievers</t>
  </si>
  <si>
    <t>December Net Sales increased 4.1% MoM, alongside a 2.9% increase in transactions. ATV also increased 1.2%, supported by modest improvements in both units per transaction and average selling price, indicating growth came from a combination of higher transaction volume and slightly stronger basket value.</t>
  </si>
  <si>
    <t>December Sales exceeded target by £7.0k, achieving 101.6% of monthly plan. Full-year Sales finished £32.8k above target, with YTD target achievement of 100.7%.</t>
  </si>
  <si>
    <t>No stores met the current dual-trigger management-attention rule. However, FreshMart London 21 declined 10.2% MoM despite remaining above target, while FreshMart Midlands 14 declined 7.1% and achieved only 96.5% of target. Both warrant review to understand the decline.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</si>
</sst>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£&quot;#,##0"/>
    <numFmt numFmtId="165" formatCode="&quot;£&quot;#,##0.00"/>
    <numFmt numFmtId="166" formatCode="0.0\%"/>
    <numFmt numFmtId="167" formatCode="0.00\%"/>
    <numFmt numFmtId="168" formatCode="&quot;£&quot;#,###"/>
    <numFmt numFmtId="169" formatCode="&quot;£&quot;#,###.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9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0"/>
      <color rgb="FF92D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9" tint="0.39997558519241921"/>
      <name val="Aptos Narrow"/>
      <family val="2"/>
      <scheme val="minor"/>
    </font>
    <font>
      <sz val="13"/>
      <color theme="0"/>
      <name val="Aptos Narrow"/>
      <family val="2"/>
      <scheme val="minor"/>
    </font>
    <font>
      <b/>
      <sz val="1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2" fillId="0" borderId="0" xfId="0" applyFont="1"/>
    <xf numFmtId="0" fontId="0" fillId="0" borderId="0" xfId="0" applyAlignment="1">
      <alignment horizontal="right" vertical="center" wrapText="1"/>
    </xf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0" xfId="0" applyFont="1" applyAlignment="1">
      <alignment wrapText="1"/>
    </xf>
    <xf numFmtId="0" fontId="10" fillId="0" borderId="0" xfId="0" applyFont="1"/>
    <xf numFmtId="0" fontId="6" fillId="3" borderId="0" xfId="0" applyFont="1" applyFill="1"/>
    <xf numFmtId="17" fontId="6" fillId="3" borderId="0" xfId="0" applyNumberFormat="1" applyFont="1" applyFill="1"/>
    <xf numFmtId="0" fontId="10" fillId="3" borderId="0" xfId="0" applyFont="1" applyFill="1"/>
    <xf numFmtId="0" fontId="0" fillId="2" borderId="1" xfId="0" applyFill="1" applyBorder="1"/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right" vertical="center" wrapText="1"/>
    </xf>
    <xf numFmtId="0" fontId="0" fillId="4" borderId="5" xfId="0" applyFill="1" applyBorder="1" applyAlignment="1">
      <alignment vertical="center" wrapText="1"/>
    </xf>
    <xf numFmtId="166" fontId="0" fillId="4" borderId="5" xfId="0" applyNumberFormat="1" applyFill="1" applyBorder="1"/>
    <xf numFmtId="167" fontId="0" fillId="4" borderId="5" xfId="0" applyNumberFormat="1" applyFill="1" applyBorder="1"/>
    <xf numFmtId="0" fontId="11" fillId="4" borderId="5" xfId="0" applyFont="1" applyFill="1" applyBorder="1"/>
    <xf numFmtId="0" fontId="0" fillId="4" borderId="5" xfId="0" applyFill="1" applyBorder="1"/>
    <xf numFmtId="168" fontId="0" fillId="0" borderId="1" xfId="0" applyNumberFormat="1" applyBorder="1"/>
    <xf numFmtId="169" fontId="0" fillId="0" borderId="1" xfId="0" applyNumberFormat="1" applyBorder="1"/>
    <xf numFmtId="0" fontId="15" fillId="0" borderId="1" xfId="0" applyFont="1" applyBorder="1"/>
    <xf numFmtId="164" fontId="9" fillId="0" borderId="5" xfId="0" applyNumberFormat="1" applyFont="1" applyBorder="1" applyAlignment="1">
      <alignment horizontal="right"/>
    </xf>
    <xf numFmtId="166" fontId="9" fillId="0" borderId="5" xfId="0" applyNumberFormat="1" applyFont="1" applyBorder="1" applyAlignment="1">
      <alignment horizontal="right"/>
    </xf>
    <xf numFmtId="165" fontId="9" fillId="0" borderId="5" xfId="0" applyNumberFormat="1" applyFont="1" applyBorder="1" applyAlignment="1">
      <alignment horizontal="right"/>
    </xf>
    <xf numFmtId="2" fontId="9" fillId="0" borderId="5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17" fontId="4" fillId="3" borderId="0" xfId="0" applyNumberFormat="1" applyFont="1" applyFill="1"/>
    <xf numFmtId="0" fontId="0" fillId="3" borderId="0" xfId="0" applyFill="1"/>
    <xf numFmtId="0" fontId="0" fillId="0" borderId="5" xfId="0" applyBorder="1" applyAlignment="1">
      <alignment horizontal="right" vertical="center" wrapText="1"/>
    </xf>
    <xf numFmtId="0" fontId="13" fillId="3" borderId="0" xfId="0" applyFont="1" applyFill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 wrapText="1"/>
    </xf>
    <xf numFmtId="0" fontId="0" fillId="2" borderId="5" xfId="0" applyFill="1" applyBorder="1" applyAlignment="1">
      <alignment horizontal="right" vertical="center" wrapText="1"/>
    </xf>
    <xf numFmtId="0" fontId="0" fillId="5" borderId="0" xfId="0" applyFill="1"/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7" fillId="5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vertical="center" wrapText="1"/>
    </xf>
    <xf numFmtId="0" fontId="2" fillId="4" borderId="5" xfId="0" applyFont="1" applyFill="1" applyBorder="1"/>
    <xf numFmtId="167" fontId="0" fillId="0" borderId="0" xfId="0" applyNumberFormat="1"/>
    <xf numFmtId="167" fontId="0" fillId="2" borderId="5" xfId="0" applyNumberFormat="1" applyFill="1" applyBorder="1" applyAlignment="1">
      <alignment horizontal="right" vertical="center" wrapText="1"/>
    </xf>
    <xf numFmtId="0" fontId="5" fillId="3" borderId="0" xfId="0" applyFont="1" applyFill="1" applyAlignment="1">
      <alignment horizontal="left" wrapText="1"/>
    </xf>
    <xf numFmtId="0" fontId="18" fillId="3" borderId="5" xfId="0" applyFont="1" applyFill="1" applyBorder="1" applyAlignment="1">
      <alignment horizontal="left"/>
    </xf>
    <xf numFmtId="0" fontId="14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/>
    </xf>
    <xf numFmtId="0" fontId="7" fillId="3" borderId="6" xfId="0" applyFont="1" applyFill="1" applyBorder="1" applyAlignment="1">
      <alignment horizontal="left"/>
    </xf>
    <xf numFmtId="0" fontId="7" fillId="3" borderId="7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1" fontId="9" fillId="0" borderId="5" xfId="1" applyNumberFormat="1" applyFont="1" applyBorder="1" applyAlignment="1">
      <alignment horizontal="right"/>
    </xf>
    <xf numFmtId="167" fontId="0" fillId="4" borderId="5" xfId="2" applyNumberFormat="1" applyFont="1" applyFill="1" applyBorder="1"/>
    <xf numFmtId="167" fontId="0" fillId="0" borderId="5" xfId="2" applyNumberFormat="1" applyFont="1" applyBorder="1" applyAlignment="1">
      <alignment horizontal="right" vertical="center" wrapText="1"/>
    </xf>
    <xf numFmtId="165" fontId="0" fillId="0" borderId="5" xfId="0" applyNumberFormat="1" applyBorder="1" applyAlignment="1">
      <alignment horizontal="right" vertical="center" wrapText="1"/>
    </xf>
    <xf numFmtId="165" fontId="0" fillId="2" borderId="5" xfId="0" applyNumberFormat="1" applyFill="1" applyBorder="1" applyAlignment="1">
      <alignment horizontal="right" vertical="center" wrapText="1"/>
    </xf>
  </cellXfs>
  <cellStyles count="3">
    <cellStyle name="Comma" xfId="1" builtinId="3"/>
    <cellStyle name="Normal" xfId="0" builtinId="0"/>
    <cellStyle name="Per cent" xfId="2" builtinId="5"/>
  </cellStyles>
  <dxfs count="14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fgColor rgb="FFFF3300"/>
          <bgColor theme="5" tint="0.39994506668294322"/>
        </patternFill>
      </fill>
    </dxf>
    <dxf>
      <fill>
        <patternFill>
          <bgColor rgb="FFEF806D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F806D"/>
      <color rgb="FFFF3399"/>
      <color rgb="FFCD5B05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Net Sales vs Sales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'Trading Performance'!$A$5</c:f>
              <c:strCache>
                <c:ptCount val="1"/>
                <c:pt idx="0">
                  <c:v>Net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'Trading Performance'!$B$4:$N$4</c:f>
              <c:numCache>
                <c:formatCode>mmm\-yy</c:formatCode>
                <c:ptCount val="1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'Trading Performance'!$B$5:$N$5</c:f>
              <c:numCache>
                <c:formatCode>"£"#,##0</c:formatCode>
                <c:ptCount val="13"/>
                <c:pt idx="0">
                  <c:v>347199.18</c:v>
                </c:pt>
                <c:pt idx="1">
                  <c:v>317297.71000000002</c:v>
                </c:pt>
                <c:pt idx="2">
                  <c:v>391277.02</c:v>
                </c:pt>
                <c:pt idx="3">
                  <c:v>373482.58</c:v>
                </c:pt>
                <c:pt idx="4">
                  <c:v>387910.67</c:v>
                </c:pt>
                <c:pt idx="5">
                  <c:v>376894.58</c:v>
                </c:pt>
                <c:pt idx="6">
                  <c:v>426209.48</c:v>
                </c:pt>
                <c:pt idx="7">
                  <c:v>441528.02</c:v>
                </c:pt>
                <c:pt idx="8">
                  <c:v>406552.16</c:v>
                </c:pt>
                <c:pt idx="9">
                  <c:v>426232.46</c:v>
                </c:pt>
                <c:pt idx="10">
                  <c:v>416804.93</c:v>
                </c:pt>
                <c:pt idx="11">
                  <c:v>433925.11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81-4EBD-BDC1-F9E0839F1C4D}"/>
            </c:ext>
          </c:extLst>
        </c:ser>
        <c:ser>
          <c:idx val="1"/>
          <c:order val="1"/>
          <c:tx>
            <c:strRef>
              <c:f>'Trading Performance'!$A$7</c:f>
              <c:strCache>
                <c:ptCount val="1"/>
                <c:pt idx="0">
                  <c:v>Sales Target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'Trading Performance'!$B$4:$N$4</c:f>
              <c:numCache>
                <c:formatCode>mmm\-yy</c:formatCode>
                <c:ptCount val="1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'Trading Performance'!$B$7:$N$7</c:f>
              <c:numCache>
                <c:formatCode>"£"#,##0</c:formatCode>
                <c:ptCount val="13"/>
                <c:pt idx="0">
                  <c:v>348047.53</c:v>
                </c:pt>
                <c:pt idx="1">
                  <c:v>315138.36</c:v>
                </c:pt>
                <c:pt idx="2">
                  <c:v>386010.06</c:v>
                </c:pt>
                <c:pt idx="3">
                  <c:v>367268.6</c:v>
                </c:pt>
                <c:pt idx="4">
                  <c:v>382254.6</c:v>
                </c:pt>
                <c:pt idx="5">
                  <c:v>373757.12</c:v>
                </c:pt>
                <c:pt idx="6">
                  <c:v>424003.06</c:v>
                </c:pt>
                <c:pt idx="7">
                  <c:v>440642.39</c:v>
                </c:pt>
                <c:pt idx="8">
                  <c:v>408079.57</c:v>
                </c:pt>
                <c:pt idx="9">
                  <c:v>426573.75</c:v>
                </c:pt>
                <c:pt idx="10">
                  <c:v>413772.79</c:v>
                </c:pt>
                <c:pt idx="11">
                  <c:v>426923.77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81-4EBD-BDC1-F9E0839F1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74447"/>
        <c:axId val="1004029296"/>
      </c:lineChart>
      <c:dateAx>
        <c:axId val="1465744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29296"/>
        <c:crosses val="autoZero"/>
        <c:auto val="1"/>
        <c:lblOffset val="100"/>
        <c:baseTimeUnit val="months"/>
      </c:dateAx>
      <c:valAx>
        <c:axId val="1004029296"/>
        <c:scaling>
          <c:orientation val="minMax"/>
          <c:max val="460000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7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Net Sales vs Sales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'Trading Performance'!$A$5</c:f>
              <c:strCache>
                <c:ptCount val="1"/>
                <c:pt idx="0">
                  <c:v>Net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'Trading Performance'!$B$4:$N$4</c:f>
              <c:numCache>
                <c:formatCode>mmm\-yy</c:formatCode>
                <c:ptCount val="1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'Trading Performance'!$B$5:$N$5</c:f>
              <c:numCache>
                <c:formatCode>"£"#,##0</c:formatCode>
                <c:ptCount val="13"/>
                <c:pt idx="0">
                  <c:v>347199.18</c:v>
                </c:pt>
                <c:pt idx="1">
                  <c:v>317297.71000000002</c:v>
                </c:pt>
                <c:pt idx="2">
                  <c:v>391277.02</c:v>
                </c:pt>
                <c:pt idx="3">
                  <c:v>373482.58</c:v>
                </c:pt>
                <c:pt idx="4">
                  <c:v>387910.67</c:v>
                </c:pt>
                <c:pt idx="5">
                  <c:v>376894.58</c:v>
                </c:pt>
                <c:pt idx="6">
                  <c:v>426209.48</c:v>
                </c:pt>
                <c:pt idx="7">
                  <c:v>441528.02</c:v>
                </c:pt>
                <c:pt idx="8">
                  <c:v>406552.16</c:v>
                </c:pt>
                <c:pt idx="9">
                  <c:v>426232.46</c:v>
                </c:pt>
                <c:pt idx="10">
                  <c:v>416804.93</c:v>
                </c:pt>
                <c:pt idx="11">
                  <c:v>433925.11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2-42CC-B538-4EF5B3F5E6EA}"/>
            </c:ext>
          </c:extLst>
        </c:ser>
        <c:ser>
          <c:idx val="1"/>
          <c:order val="1"/>
          <c:tx>
            <c:strRef>
              <c:f>'Trading Performance'!$A$7</c:f>
              <c:strCache>
                <c:ptCount val="1"/>
                <c:pt idx="0">
                  <c:v>Sales Target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'Trading Performance'!$B$4:$N$4</c:f>
              <c:numCache>
                <c:formatCode>mmm\-yy</c:formatCode>
                <c:ptCount val="1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'Trading Performance'!$B$7:$N$7</c:f>
              <c:numCache>
                <c:formatCode>"£"#,##0</c:formatCode>
                <c:ptCount val="13"/>
                <c:pt idx="0">
                  <c:v>348047.53</c:v>
                </c:pt>
                <c:pt idx="1">
                  <c:v>315138.36</c:v>
                </c:pt>
                <c:pt idx="2">
                  <c:v>386010.06</c:v>
                </c:pt>
                <c:pt idx="3">
                  <c:v>367268.6</c:v>
                </c:pt>
                <c:pt idx="4">
                  <c:v>382254.6</c:v>
                </c:pt>
                <c:pt idx="5">
                  <c:v>373757.12</c:v>
                </c:pt>
                <c:pt idx="6">
                  <c:v>424003.06</c:v>
                </c:pt>
                <c:pt idx="7">
                  <c:v>440642.39</c:v>
                </c:pt>
                <c:pt idx="8">
                  <c:v>408079.57</c:v>
                </c:pt>
                <c:pt idx="9">
                  <c:v>426573.75</c:v>
                </c:pt>
                <c:pt idx="10">
                  <c:v>413772.79</c:v>
                </c:pt>
                <c:pt idx="11">
                  <c:v>426923.77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02-42CC-B538-4EF5B3F5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74447"/>
        <c:axId val="1004029296"/>
      </c:lineChart>
      <c:dateAx>
        <c:axId val="1465744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029296"/>
        <c:crosses val="autoZero"/>
        <c:auto val="1"/>
        <c:lblOffset val="100"/>
        <c:baseTimeUnit val="months"/>
      </c:dateAx>
      <c:valAx>
        <c:axId val="1004029296"/>
        <c:scaling>
          <c:orientation val="minMax"/>
          <c:max val="460000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7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Transactions and ATV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'Trading Performance'!$A$9</c:f>
              <c:strCache>
                <c:ptCount val="1"/>
                <c:pt idx="0">
                  <c:v>Transactions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'Trading Performance'!$B$4:$N$4</c:f>
              <c:numCache>
                <c:formatCode>mmm\-yy</c:formatCode>
                <c:ptCount val="1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'Trading Performance'!$B$9:$N$9</c:f>
              <c:numCache>
                <c:formatCode>0</c:formatCode>
                <c:ptCount val="13"/>
                <c:pt idx="0">
                  <c:v>8565</c:v>
                </c:pt>
                <c:pt idx="1">
                  <c:v>7825</c:v>
                </c:pt>
                <c:pt idx="2">
                  <c:v>9497</c:v>
                </c:pt>
                <c:pt idx="3">
                  <c:v>9230</c:v>
                </c:pt>
                <c:pt idx="4">
                  <c:v>9571</c:v>
                </c:pt>
                <c:pt idx="5">
                  <c:v>9251</c:v>
                </c:pt>
                <c:pt idx="6">
                  <c:v>10268</c:v>
                </c:pt>
                <c:pt idx="7">
                  <c:v>10728</c:v>
                </c:pt>
                <c:pt idx="8">
                  <c:v>9926</c:v>
                </c:pt>
                <c:pt idx="9">
                  <c:v>10444</c:v>
                </c:pt>
                <c:pt idx="10">
                  <c:v>10110</c:v>
                </c:pt>
                <c:pt idx="11">
                  <c:v>10404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C-4A48-A2ED-B20E210B1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982704"/>
        <c:axId val="1003920816"/>
      </c:barChart>
      <c:lineChart>
        <c:grouping val="standard"/>
        <c:varyColors val="0"/>
        <c:ser>
          <c:idx val="1"/>
          <c:order val="1"/>
          <c:tx>
            <c:strRef>
              <c:f>'Trading Performance'!$A$11</c:f>
              <c:strCache>
                <c:ptCount val="1"/>
                <c:pt idx="0">
                  <c:v>ATV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'Trading Performance'!$B$4:$N$4</c:f>
              <c:numCache>
                <c:formatCode>mmm\-yy</c:formatCode>
                <c:ptCount val="13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'Trading Performance'!$B$11:$N$11</c:f>
              <c:numCache>
                <c:formatCode>"£"#,##0.00</c:formatCode>
                <c:ptCount val="13"/>
                <c:pt idx="0">
                  <c:v>40.54</c:v>
                </c:pt>
                <c:pt idx="1">
                  <c:v>40.549999999999997</c:v>
                </c:pt>
                <c:pt idx="2">
                  <c:v>41.2</c:v>
                </c:pt>
                <c:pt idx="3">
                  <c:v>40.46</c:v>
                </c:pt>
                <c:pt idx="4">
                  <c:v>40.53</c:v>
                </c:pt>
                <c:pt idx="5">
                  <c:v>40.74</c:v>
                </c:pt>
                <c:pt idx="6">
                  <c:v>41.51</c:v>
                </c:pt>
                <c:pt idx="7">
                  <c:v>41.16</c:v>
                </c:pt>
                <c:pt idx="8">
                  <c:v>40.96</c:v>
                </c:pt>
                <c:pt idx="9">
                  <c:v>40.81</c:v>
                </c:pt>
                <c:pt idx="10">
                  <c:v>41.23</c:v>
                </c:pt>
                <c:pt idx="11">
                  <c:v>41.71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C-4A48-A2ED-B20E210B1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005648"/>
        <c:axId val="1003927536"/>
      </c:lineChart>
      <c:dateAx>
        <c:axId val="301982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920816"/>
        <c:crosses val="autoZero"/>
        <c:auto val="1"/>
        <c:lblOffset val="100"/>
        <c:baseTimeUnit val="months"/>
      </c:dateAx>
      <c:valAx>
        <c:axId val="10039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82704"/>
        <c:crosses val="autoZero"/>
        <c:crossBetween val="between"/>
      </c:valAx>
      <c:valAx>
        <c:axId val="1003927536"/>
        <c:scaling>
          <c:orientation val="minMax"/>
        </c:scaling>
        <c:delete val="0"/>
        <c:axPos val="r"/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05648"/>
        <c:crosses val="max"/>
        <c:crossBetween val="between"/>
      </c:valAx>
      <c:dateAx>
        <c:axId val="54800564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03927536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769620</xdr:colOff>
      <xdr:row>14</xdr:row>
      <xdr:rowOff>1</xdr:rowOff>
    </xdr:from>
    <xdr:to>
      <xdr:col>4</xdr:col>
      <xdr:colOff>251460</xdr:colOff>
      <xdr:row>26</xdr:row>
      <xdr:rowOff>137161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8B74A-5E92-4F02-BB4D-9158FEE3A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140173</xdr:rowOff>
    </xdr:from>
    <xdr:to>
      <xdr:col>5</xdr:col>
      <xdr:colOff>807493</xdr:colOff>
      <xdr:row>30</xdr:row>
      <xdr:rowOff>15069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698D36-29CE-6523-571B-B1B677A31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807492</xdr:colOff>
      <xdr:row>13</xdr:row>
      <xdr:rowOff>147851</xdr:rowOff>
    </xdr:from>
    <xdr:to>
      <xdr:col>13</xdr:col>
      <xdr:colOff>-1</xdr:colOff>
      <xdr:row>30</xdr:row>
      <xdr:rowOff>22746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66F2A5-1C54-7901-EF9E-2EC5E30DB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2DF1E3D-9079-4653-B15D-AC8EED7E74C1}" autoFormatId="16" applyNumberFormats="0" applyBorderFormats="0" applyFontFormats="0" applyPatternFormats="0" applyAlignmentFormats="0" applyWidthHeightFormats="0">
  <queryTableRefresh nextId="13">
    <queryTableFields count="12">
      <queryTableField id="1" name="month_year" tableColumnId="1"/>
      <queryTableField id="2" name="store_id" tableColumnId="2"/>
      <queryTableField id="3" name="store_name" tableColumnId="3"/>
      <queryTableField id="4" name="store_format" tableColumnId="4"/>
      <queryTableField id="5" name="region" tableColumnId="5"/>
      <queryTableField id="6" name="net_sales" tableColumnId="6"/>
      <queryTableField id="7" name="previous_month_sales" tableColumnId="7"/>
      <queryTableField id="8" name="mom_sales_variance" tableColumnId="8"/>
      <queryTableField id="9" name="mom_sales_growth_pct" tableColumnId="9"/>
      <queryTableField id="10" name="sales_target" tableColumnId="10"/>
      <queryTableField id="11" name="sales_vs_target" tableColumnId="11"/>
      <queryTableField id="12" name="target_achievement_pc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321D50-5A6C-42F5-835A-D007D90FEF8C}" autoFormatId="16" applyNumberFormats="0" applyBorderFormats="0" applyFontFormats="0" applyPatternFormats="0" applyAlignmentFormats="0" applyWidthHeightFormats="0">
  <queryTableRefresh nextId="21">
    <queryTableFields count="20">
      <queryTableField id="1" name="month_year" tableColumnId="1"/>
      <queryTableField id="2" name="net_sales" tableColumnId="2"/>
      <queryTableField id="3" name="previous_month_sales" tableColumnId="3"/>
      <queryTableField id="4" name="sales_mom_pct" tableColumnId="4"/>
      <queryTableField id="5" name="transactions" tableColumnId="5"/>
      <queryTableField id="6" name="transactions_mom_pct" tableColumnId="6"/>
      <queryTableField id="7" name="units_sold" tableColumnId="7"/>
      <queryTableField id="8" name="avg_transaction_value" tableColumnId="8"/>
      <queryTableField id="9" name="atv_mom_pct" tableColumnId="9"/>
      <queryTableField id="10" name="units_per_transaction" tableColumnId="10"/>
      <queryTableField id="11" name="upt_mom_pct" tableColumnId="11"/>
      <queryTableField id="12" name="avg_selling_price" tableColumnId="12"/>
      <queryTableField id="13" name="asp_mom_pct" tableColumnId="13"/>
      <queryTableField id="14" name="sales_target" tableColumnId="14"/>
      <queryTableField id="15" name="sales_vs_target" tableColumnId="15"/>
      <queryTableField id="16" name="target_achievement_pct" tableColumnId="16"/>
      <queryTableField id="17" name="ytd_net_sales" tableColumnId="17"/>
      <queryTableField id="18" name="ytd_sales_target" tableColumnId="18"/>
      <queryTableField id="19" name="ytd_sales_vs_target" tableColumnId="19"/>
      <queryTableField id="20" name="ytd_target_achievement_pc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97AE1-C0C3-49C5-91FF-6D069D234EF9}" name="tblStoreMonthly" displayName="tblStoreMonthly" ref="A1:L291" tableType="queryTable" totalsRowShown="0">
  <autoFilter ref="A1:L291" xr:uid="{3F197AE1-C0C3-49C5-91FF-6D069D234EF9}"/>
  <tableColumns count="12">
    <tableColumn id="1" xr3:uid="{D5C9D59E-867D-4011-96AE-CF64B46D26D5}" uniqueName="1" name="month_year" queryTableFieldId="1" dataDxfId="13"/>
    <tableColumn id="2" xr3:uid="{C4E373E2-7BD8-4B09-9137-888CF5451F90}" uniqueName="2" name="store_id" queryTableFieldId="2" dataDxfId="12"/>
    <tableColumn id="3" xr3:uid="{06642FB4-B38F-4480-97AE-5238E728A5FE}" uniqueName="3" name="store_name" queryTableFieldId="3" dataDxfId="11"/>
    <tableColumn id="4" xr3:uid="{FBB1C7AD-F444-443F-94FE-69839D93B9F6}" uniqueName="4" name="store_format" queryTableFieldId="4" dataDxfId="10"/>
    <tableColumn id="5" xr3:uid="{F41813DF-FE71-41DC-90DC-18F7D28D8D64}" uniqueName="5" name="region" queryTableFieldId="5" dataDxfId="9"/>
    <tableColumn id="6" xr3:uid="{E0F4A295-27E4-41BA-BFB3-E46AB8C6D9C3}" uniqueName="6" name="net_sales" queryTableFieldId="6"/>
    <tableColumn id="7" xr3:uid="{D742321A-7DE9-4162-A0A4-0B573591E40D}" uniqueName="7" name="previous_month_sales" queryTableFieldId="7"/>
    <tableColumn id="8" xr3:uid="{07355680-0BAA-4787-AE84-9BE053F56305}" uniqueName="8" name="mom_sales_variance" queryTableFieldId="8"/>
    <tableColumn id="9" xr3:uid="{8049CDF7-CC6A-4460-B434-577733EB4054}" uniqueName="9" name="mom_sales_growth_pct" queryTableFieldId="9"/>
    <tableColumn id="10" xr3:uid="{AB1B5903-7396-4EEA-A833-7E278F0FB6CB}" uniqueName="10" name="sales_target" queryTableFieldId="10"/>
    <tableColumn id="11" xr3:uid="{073EC471-1A5B-4676-95F0-C8851E5774A3}" uniqueName="11" name="sales_vs_target" queryTableFieldId="11"/>
    <tableColumn id="12" xr3:uid="{8F8B1D65-E114-4158-88E1-13E3AE80AE91}" uniqueName="12" name="target_achievement_pc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39327E-0BEB-4998-BE3C-5DC77C796682}" name="tblCompanyMonthly" displayName="tblCompanyMonthly" ref="A1:T13" tableType="queryTable" totalsRowShown="0">
  <autoFilter ref="A1:T13" xr:uid="{0539327E-0BEB-4998-BE3C-5DC77C796682}"/>
  <tableColumns count="20">
    <tableColumn id="1" xr3:uid="{8380DE84-59BA-4EDF-90FC-DFA52EA75B43}" uniqueName="1" name="month_year" queryTableFieldId="1" dataDxfId="8"/>
    <tableColumn id="2" xr3:uid="{C660C9BE-6DF4-4EBF-949D-C81E8C74C9C8}" uniqueName="2" name="net_sales" queryTableFieldId="2"/>
    <tableColumn id="3" xr3:uid="{D92F153E-6C00-4B51-BED9-B93F71099DFC}" uniqueName="3" name="previous_month_sales" queryTableFieldId="3"/>
    <tableColumn id="4" xr3:uid="{AF879ED9-6C9E-456B-99DA-6437E4A1477D}" uniqueName="4" name="sales_mom_pct" queryTableFieldId="4"/>
    <tableColumn id="5" xr3:uid="{643EF771-DC68-48B5-ABD9-1151A06A2330}" uniqueName="5" name="transactions" queryTableFieldId="5"/>
    <tableColumn id="6" xr3:uid="{197AD647-769C-48EF-8588-55498129287F}" uniqueName="6" name="transactions_mom_pct" queryTableFieldId="6"/>
    <tableColumn id="7" xr3:uid="{9D0428F2-8546-494C-835C-22E03C769276}" uniqueName="7" name="units_sold" queryTableFieldId="7"/>
    <tableColumn id="8" xr3:uid="{8839D3A9-3029-4F04-9BD5-B59DE1FC07C0}" uniqueName="8" name="avg_transaction_value" queryTableFieldId="8"/>
    <tableColumn id="9" xr3:uid="{9FD9C8D5-902B-4ACA-BB1A-AC0E56F12860}" uniqueName="9" name="atv_mom_pct" queryTableFieldId="9"/>
    <tableColumn id="10" xr3:uid="{7A2C18FF-D804-40A3-89BB-F6FF5CE853AC}" uniqueName="10" name="units_per_transaction" queryTableFieldId="10"/>
    <tableColumn id="11" xr3:uid="{B13B51D1-AF85-48F7-A96E-3716C7EACDD6}" uniqueName="11" name="upt_mom_pct" queryTableFieldId="11"/>
    <tableColumn id="12" xr3:uid="{6334273F-BF85-4D34-B324-E6A0A0348FEF}" uniqueName="12" name="avg_selling_price" queryTableFieldId="12"/>
    <tableColumn id="13" xr3:uid="{FEC19CD5-7193-4175-9657-B9DBF2A42E10}" uniqueName="13" name="asp_mom_pct" queryTableFieldId="13"/>
    <tableColumn id="14" xr3:uid="{0EEFF8BD-03A9-4748-BE4E-44D61D1D40E6}" uniqueName="14" name="sales_target" queryTableFieldId="14"/>
    <tableColumn id="15" xr3:uid="{F0C166AF-7C34-4244-B768-D612BC9422E8}" uniqueName="15" name="sales_vs_target" queryTableFieldId="15"/>
    <tableColumn id="16" xr3:uid="{CCE0101E-36AF-4AAE-9C43-BEAB0B5E349B}" uniqueName="16" name="target_achievement_pct" queryTableFieldId="16"/>
    <tableColumn id="17" xr3:uid="{A15C5314-F54E-46DF-B3C2-94BBE30F79E3}" uniqueName="17" name="ytd_net_sales" queryTableFieldId="17"/>
    <tableColumn id="18" xr3:uid="{26665FBC-E119-40B2-90A7-E42816477F15}" uniqueName="18" name="ytd_sales_target" queryTableFieldId="18"/>
    <tableColumn id="19" xr3:uid="{ED30162C-9B26-425A-B03D-47DA3970DDB4}" uniqueName="19" name="ytd_sales_vs_target" queryTableFieldId="19"/>
    <tableColumn id="20" xr3:uid="{55A11FC9-1655-4C71-919C-0F6283599595}" uniqueName="20" name="ytd_target_achievement_pc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D2F1-FA55-4721-842E-E6422B138A97}">
  <dimension ref="A1:I39"/>
  <sheetViews>
    <sheetView showGridLines="0" workbookViewId="0">
      <selection activeCell="J8" sqref="J8"/>
    </sheetView>
  </sheetViews>
  <sheetFormatPr defaultRowHeight="14.4" x14ac:dyDescent="0.3"/>
  <cols>
    <col min="1" max="1" width="22.77734375" customWidth="1"/>
    <col min="2" max="2" width="22.21875" customWidth="1"/>
    <col min="3" max="3" width="12.5546875" customWidth="1"/>
    <col min="4" max="4" width="14.44140625" customWidth="1"/>
    <col min="5" max="5" width="11.109375" customWidth="1"/>
    <col min="6" max="6" width="10.21875" customWidth="1"/>
  </cols>
  <sheetData>
    <row r="1" spans="1:9" ht="28.2" customHeight="1" x14ac:dyDescent="0.5">
      <c r="A1" s="54" t="s">
        <v>134</v>
      </c>
      <c r="B1" s="52"/>
      <c r="C1" s="52"/>
      <c r="D1" s="52"/>
      <c r="E1" s="52"/>
      <c r="F1" s="52"/>
      <c r="G1" s="12"/>
      <c r="H1" s="12"/>
      <c r="I1" s="12"/>
    </row>
    <row r="2" spans="1:9" ht="21" x14ac:dyDescent="0.4">
      <c r="A2" s="14" t="s">
        <v>106</v>
      </c>
      <c r="B2" s="15">
        <v>45992</v>
      </c>
      <c r="C2" s="37"/>
      <c r="D2" s="37"/>
      <c r="E2" s="37"/>
      <c r="F2" s="37"/>
    </row>
    <row r="4" spans="1:9" ht="31.8" thickBot="1" x14ac:dyDescent="0.35">
      <c r="A4" s="47" t="s">
        <v>96</v>
      </c>
      <c r="B4" s="39" t="s">
        <v>119</v>
      </c>
      <c r="C4" s="39" t="s">
        <v>120</v>
      </c>
      <c r="D4" s="39" t="s">
        <v>110</v>
      </c>
      <c r="E4" s="39" t="s">
        <v>121</v>
      </c>
      <c r="F4" s="39" t="s">
        <v>122</v>
      </c>
    </row>
    <row r="5" spans="1:9" ht="18" thickBot="1" x14ac:dyDescent="0.35">
      <c r="A5" s="48" t="s">
        <v>97</v>
      </c>
      <c r="B5" s="65">
        <f>_xlfn.XLOOKUP(
TEXT($B$2,"yyyy-mm"),
tblCompanyMonthly[month_year],
tblCompanyMonthly[net_sales],
""
)</f>
        <v>433925.11</v>
      </c>
      <c r="C5" s="65">
        <f>_xlfn.XLOOKUP(
TEXT(EDATE($B$2,-1),"yyyy-mm"),
tblCompanyMonthly[month_year],
tblCompanyMonthly[net_sales],
""
)</f>
        <v>416804.93</v>
      </c>
      <c r="D5" s="64">
        <f>_xlfn.XLOOKUP(
TEXT($B$2,"yyyy-mm"),
tblCompanyMonthly[month_year],
tblCompanyMonthly[sales_mom_pct],
""
)</f>
        <v>4.1100000000000003</v>
      </c>
      <c r="E5" s="65">
        <f>_xlfn.XLOOKUP(
TEXT($B$2,"yyyy-mm"),
tblCompanyMonthly[month_year],
tblCompanyMonthly[sales_target],
""
)</f>
        <v>426923.77</v>
      </c>
      <c r="F5" s="65">
        <f>_xlfn.XLOOKUP(
TEXT($B$2,"yyyy-mm"),
tblCompanyMonthly[month_year],
tblCompanyMonthly[sales_vs_target],
""
)</f>
        <v>7001.34</v>
      </c>
    </row>
    <row r="6" spans="1:9" ht="18" thickBot="1" x14ac:dyDescent="0.35">
      <c r="A6" s="48" t="s">
        <v>101</v>
      </c>
      <c r="B6" s="38">
        <f>_xlfn.XLOOKUP(
TEXT($B$2,"yyyy-mm"),
tblCompanyMonthly[month_year],
tblCompanyMonthly[transactions],
""
)</f>
        <v>10404</v>
      </c>
      <c r="C6" s="38">
        <f>_xlfn.XLOOKUP(
TEXT(EDATE($B$2,-1),"yyyy-mm"),
tblCompanyMonthly[month_year],
tblCompanyMonthly[transactions],
""
)</f>
        <v>10110</v>
      </c>
      <c r="D6" s="64">
        <f>_xlfn.XLOOKUP(
TEXT($B$2,"yyyy-mm"),
tblCompanyMonthly[month_year],
tblCompanyMonthly[transactions_mom_pct],
""
)</f>
        <v>2.91</v>
      </c>
      <c r="E6" s="38" t="s">
        <v>123</v>
      </c>
      <c r="F6" s="38" t="s">
        <v>123</v>
      </c>
    </row>
    <row r="7" spans="1:9" ht="18" thickBot="1" x14ac:dyDescent="0.35">
      <c r="A7" s="48" t="s">
        <v>103</v>
      </c>
      <c r="B7" s="65">
        <f>_xlfn.XLOOKUP(TEXT($B$2,"yyyy-mm"),tblCompanyMonthly[month_year],tblCompanyMonthly[avg_transaction_value],"")</f>
        <v>41.71</v>
      </c>
      <c r="C7" s="65">
        <f>_xlfn.XLOOKUP(TEXT(EDATE($B$2,-1),"yyyy-mm"),tblCompanyMonthly[month_year],tblCompanyMonthly[avg_transaction_value],"")</f>
        <v>41.23</v>
      </c>
      <c r="D7" s="64">
        <f>_xlfn.XLOOKUP(TEXT($B$2,"yyyy-mm"),tblCompanyMonthly[month_year],tblCompanyMonthly[atv_mom_pct],"")</f>
        <v>1.1599999999999999</v>
      </c>
      <c r="E7" s="38"/>
      <c r="F7" s="38"/>
    </row>
    <row r="8" spans="1:9" ht="18" thickBot="1" x14ac:dyDescent="0.35">
      <c r="A8" s="48" t="s">
        <v>104</v>
      </c>
      <c r="B8" s="38">
        <f>_xlfn.XLOOKUP(TEXT($B$2,"yyyy-mm"),tblCompanyMonthly[month_year],tblCompanyMonthly[units_per_transaction],"")</f>
        <v>5.17</v>
      </c>
      <c r="C8" s="38">
        <f>_xlfn.XLOOKUP(TEXT(EDATE($B$2,-1),"yyyy-mm"),tblCompanyMonthly[month_year],tblCompanyMonthly[units_per_transaction],"")</f>
        <v>5.15</v>
      </c>
      <c r="D8" s="64">
        <f>_xlfn.XLOOKUP(TEXT($B$2,"yyyy-mm"),tblCompanyMonthly[month_year],tblCompanyMonthly[upt_mom_pct],"")</f>
        <v>0.39</v>
      </c>
      <c r="E8" s="38"/>
      <c r="F8" s="38"/>
    </row>
    <row r="9" spans="1:9" ht="18" thickBot="1" x14ac:dyDescent="0.35">
      <c r="A9" s="48" t="s">
        <v>105</v>
      </c>
      <c r="B9" s="65">
        <f>_xlfn.XLOOKUP(TEXT($B$2,"yyyy-mm"),tblCompanyMonthly[month_year],tblCompanyMonthly[avg_selling_price],"")</f>
        <v>8.07</v>
      </c>
      <c r="C9" s="65">
        <f>_xlfn.XLOOKUP(TEXT(EDATE($B$2,-1),"yyyy-mm"),tblCompanyMonthly[month_year],tblCompanyMonthly[avg_selling_price],"")</f>
        <v>8.01</v>
      </c>
      <c r="D9" s="64">
        <f>_xlfn.XLOOKUP(TEXT($B$2,"yyyy-mm"),tblCompanyMonthly[month_year],tblCompanyMonthly[asp_mom_pct],"")</f>
        <v>0.75</v>
      </c>
      <c r="E9" s="38"/>
      <c r="F9" s="38"/>
    </row>
    <row r="10" spans="1:9" ht="15" thickBot="1" x14ac:dyDescent="0.35"/>
    <row r="11" spans="1:9" ht="34.799999999999997" customHeight="1" thickBot="1" x14ac:dyDescent="0.35">
      <c r="A11" s="40" t="s">
        <v>124</v>
      </c>
      <c r="B11" s="40" t="s">
        <v>125</v>
      </c>
      <c r="C11" s="40" t="s">
        <v>111</v>
      </c>
      <c r="D11" s="40" t="s">
        <v>115</v>
      </c>
    </row>
    <row r="12" spans="1:9" ht="18" customHeight="1" thickBot="1" x14ac:dyDescent="0.35">
      <c r="A12" s="41">
        <f>_xlfn.XLOOKUP(
TEXT($B$2,"yyyy-mm"),
tblCompanyMonthly[month_year],
tblCompanyMonthly[ytd_net_sales],
""
)</f>
        <v>4745313.9000000004</v>
      </c>
      <c r="B12" s="66">
        <f>_xlfn.XLOOKUP(
TEXT($B$2,"yyyy-mm"),
tblCompanyMonthly[month_year],
tblCompanyMonthly[ytd_sales_target],
""
)</f>
        <v>4712471.5999999996</v>
      </c>
      <c r="C12" s="66">
        <f>_xlfn.XLOOKUP(
TEXT($B$2,"yyyy-mm"),
tblCompanyMonthly[month_year],
tblCompanyMonthly[ytd_sales_vs_target],
""
)</f>
        <v>32842.300000000003</v>
      </c>
      <c r="D12" s="51">
        <f>_xlfn.XLOOKUP(
TEXT($B$2,"yyyy-mm"),
tblCompanyMonthly[month_year],
tblCompanyMonthly[ytd_target_achievement_pct],
""
)</f>
        <v>100.7</v>
      </c>
    </row>
    <row r="13" spans="1:9" x14ac:dyDescent="0.3">
      <c r="D13" s="50"/>
    </row>
    <row r="14" spans="1:9" ht="17.399999999999999" x14ac:dyDescent="0.35">
      <c r="A14" s="55" t="s">
        <v>126</v>
      </c>
      <c r="B14" s="55"/>
      <c r="C14" s="55"/>
      <c r="D14" s="55"/>
      <c r="E14" s="55"/>
      <c r="F14" s="55"/>
    </row>
    <row r="15" spans="1:9" x14ac:dyDescent="0.3">
      <c r="A15" s="42"/>
      <c r="B15" s="42"/>
      <c r="C15" s="42"/>
      <c r="D15" s="42"/>
      <c r="E15" s="42"/>
      <c r="F15" s="42"/>
    </row>
    <row r="16" spans="1:9" x14ac:dyDescent="0.3">
      <c r="A16" s="42"/>
      <c r="B16" s="42"/>
      <c r="C16" s="42"/>
      <c r="D16" s="42"/>
      <c r="E16" s="42"/>
      <c r="F16" s="42"/>
    </row>
    <row r="17" spans="1:6" x14ac:dyDescent="0.3">
      <c r="A17" s="42"/>
      <c r="B17" s="42"/>
      <c r="C17" s="42"/>
      <c r="D17" s="42"/>
      <c r="E17" s="42"/>
      <c r="F17" s="42"/>
    </row>
    <row r="18" spans="1:6" x14ac:dyDescent="0.3">
      <c r="A18" s="42"/>
      <c r="B18" s="42"/>
      <c r="C18" s="42"/>
      <c r="D18" s="42"/>
      <c r="E18" s="42"/>
      <c r="F18" s="42"/>
    </row>
    <row r="19" spans="1:6" x14ac:dyDescent="0.3">
      <c r="A19" s="42"/>
      <c r="B19" s="42"/>
      <c r="C19" s="42"/>
      <c r="D19" s="42"/>
      <c r="E19" s="42"/>
      <c r="F19" s="42"/>
    </row>
    <row r="20" spans="1:6" x14ac:dyDescent="0.3">
      <c r="A20" s="42"/>
      <c r="B20" s="42"/>
      <c r="C20" s="42"/>
      <c r="D20" s="42"/>
      <c r="E20" s="42"/>
      <c r="F20" s="42"/>
    </row>
    <row r="21" spans="1:6" x14ac:dyDescent="0.3">
      <c r="A21" s="42"/>
      <c r="B21" s="42"/>
      <c r="C21" s="42"/>
      <c r="D21" s="42"/>
      <c r="E21" s="42"/>
      <c r="F21" s="42"/>
    </row>
    <row r="22" spans="1:6" x14ac:dyDescent="0.3">
      <c r="A22" s="42"/>
      <c r="B22" s="42"/>
      <c r="C22" s="42"/>
      <c r="D22" s="42"/>
      <c r="E22" s="42"/>
      <c r="F22" s="42"/>
    </row>
    <row r="23" spans="1:6" x14ac:dyDescent="0.3">
      <c r="A23" s="42"/>
      <c r="B23" s="42"/>
      <c r="C23" s="42"/>
      <c r="D23" s="42"/>
      <c r="E23" s="42"/>
      <c r="F23" s="42"/>
    </row>
    <row r="24" spans="1:6" x14ac:dyDescent="0.3">
      <c r="A24" s="42"/>
      <c r="B24" s="42"/>
      <c r="C24" s="42"/>
      <c r="D24" s="42"/>
      <c r="E24" s="42"/>
      <c r="F24" s="42"/>
    </row>
    <row r="25" spans="1:6" x14ac:dyDescent="0.3">
      <c r="A25" s="42"/>
      <c r="B25" s="42"/>
      <c r="C25" s="42"/>
      <c r="D25" s="42"/>
      <c r="E25" s="42"/>
      <c r="F25" s="42"/>
    </row>
    <row r="26" spans="1:6" x14ac:dyDescent="0.3">
      <c r="A26" s="42"/>
      <c r="B26" s="42"/>
      <c r="C26" s="42"/>
      <c r="D26" s="42"/>
      <c r="E26" s="42"/>
      <c r="F26" s="42"/>
    </row>
    <row r="27" spans="1:6" x14ac:dyDescent="0.3">
      <c r="A27" s="42"/>
      <c r="B27" s="42"/>
      <c r="C27" s="42"/>
      <c r="D27" s="42"/>
      <c r="E27" s="42"/>
      <c r="F27" s="42"/>
    </row>
    <row r="28" spans="1:6" ht="15" thickBot="1" x14ac:dyDescent="0.35"/>
    <row r="29" spans="1:6" ht="18" thickBot="1" x14ac:dyDescent="0.4">
      <c r="A29" s="56" t="s">
        <v>135</v>
      </c>
      <c r="B29" s="57"/>
      <c r="D29" s="56" t="s">
        <v>116</v>
      </c>
      <c r="E29" s="58"/>
      <c r="F29" s="57"/>
    </row>
    <row r="30" spans="1:6" ht="15" thickBot="1" x14ac:dyDescent="0.35">
      <c r="A30" s="49" t="s">
        <v>114</v>
      </c>
      <c r="B30" s="49" t="s">
        <v>115</v>
      </c>
      <c r="D30" s="43" t="s">
        <v>107</v>
      </c>
      <c r="E30" s="44" t="s">
        <v>110</v>
      </c>
      <c r="F30" s="44" t="s">
        <v>117</v>
      </c>
    </row>
    <row r="31" spans="1:6" ht="29.4" thickBot="1" x14ac:dyDescent="0.35">
      <c r="A31" s="27" t="str">
        <f>'Store Performance'!A33</f>
        <v>FreshMart London 06</v>
      </c>
      <c r="B31" s="63">
        <f>'Store Performance'!B33</f>
        <v>106.03</v>
      </c>
      <c r="D31" s="23" t="str">
        <f>'Store Performance'!D33</f>
        <v>No stores flagged</v>
      </c>
      <c r="E31" s="27"/>
      <c r="F31" s="27"/>
    </row>
    <row r="32" spans="1:6" ht="19.2" customHeight="1" thickBot="1" x14ac:dyDescent="0.35">
      <c r="A32" s="27" t="str">
        <f>'Store Performance'!A34</f>
        <v>FreshMart North West 15</v>
      </c>
      <c r="B32" s="63">
        <f>'Store Performance'!B34</f>
        <v>106.03</v>
      </c>
      <c r="D32" s="23"/>
      <c r="E32" s="27"/>
      <c r="F32" s="27"/>
    </row>
    <row r="33" spans="1:6" ht="20.399999999999999" customHeight="1" thickBot="1" x14ac:dyDescent="0.35">
      <c r="A33" s="27" t="str">
        <f>'Store Performance'!A35</f>
        <v>FreshMart South East 07</v>
      </c>
      <c r="B33" s="63">
        <f>'Store Performance'!B35</f>
        <v>103.48</v>
      </c>
      <c r="D33" s="23"/>
      <c r="E33" s="27"/>
      <c r="F33" s="27"/>
    </row>
    <row r="35" spans="1:6" ht="15" thickBot="1" x14ac:dyDescent="0.35"/>
    <row r="36" spans="1:6" ht="36.6" thickBot="1" x14ac:dyDescent="0.35">
      <c r="A36" s="46" t="s">
        <v>129</v>
      </c>
      <c r="B36" s="46" t="s">
        <v>127</v>
      </c>
    </row>
    <row r="37" spans="1:6" ht="202.2" thickBot="1" x14ac:dyDescent="0.35">
      <c r="A37" s="45" t="s">
        <v>130</v>
      </c>
      <c r="B37" s="23" t="s">
        <v>136</v>
      </c>
    </row>
    <row r="38" spans="1:6" ht="115.8" thickBot="1" x14ac:dyDescent="0.35">
      <c r="A38" s="45" t="s">
        <v>128</v>
      </c>
      <c r="B38" s="23" t="s">
        <v>137</v>
      </c>
    </row>
    <row r="39" spans="1:6" ht="173.4" thickBot="1" x14ac:dyDescent="0.35">
      <c r="A39" s="45" t="s">
        <v>131</v>
      </c>
      <c r="B39" s="23" t="s">
        <v>138</v>
      </c>
    </row>
  </sheetData>
  <mergeCells count="4">
    <mergeCell ref="A1:F1"/>
    <mergeCell ref="A14:F14"/>
    <mergeCell ref="A29:B29"/>
    <mergeCell ref="D29:F29"/>
  </mergeCells>
  <dataValidations count="1">
    <dataValidation type="list" allowBlank="1" showInputMessage="1" showErrorMessage="1" sqref="B2" xr:uid="{1CF72522-D030-4F76-89A0-0A84A494CA2F}">
      <formula1>ReportingNames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94E5-155B-4CF2-8502-93B1000F645D}">
  <dimension ref="A1:N41"/>
  <sheetViews>
    <sheetView showGridLines="0" zoomScale="90" zoomScaleNormal="90" workbookViewId="0">
      <selection activeCell="H35" sqref="H35"/>
    </sheetView>
  </sheetViews>
  <sheetFormatPr defaultRowHeight="14.4" x14ac:dyDescent="0.3"/>
  <cols>
    <col min="1" max="1" width="26.88671875" customWidth="1"/>
    <col min="2" max="2" width="17.88671875" customWidth="1"/>
    <col min="3" max="3" width="12.88671875" customWidth="1"/>
    <col min="4" max="4" width="19.88671875" customWidth="1"/>
    <col min="5" max="5" width="16" customWidth="1"/>
    <col min="6" max="6" width="12.33203125" customWidth="1"/>
    <col min="7" max="7" width="17.5546875" customWidth="1"/>
    <col min="8" max="8" width="12.21875" customWidth="1"/>
    <col min="9" max="9" width="10.33203125" customWidth="1"/>
    <col min="10" max="10" width="13.6640625" customWidth="1"/>
  </cols>
  <sheetData>
    <row r="1" spans="1:14" ht="28.2" customHeight="1" x14ac:dyDescent="0.5">
      <c r="A1" s="52" t="s">
        <v>132</v>
      </c>
      <c r="B1" s="52"/>
      <c r="C1" s="52"/>
      <c r="D1" s="52"/>
      <c r="E1" s="52"/>
      <c r="F1" s="52"/>
      <c r="G1" s="52"/>
      <c r="H1" s="52"/>
      <c r="I1" s="52"/>
      <c r="J1" s="52"/>
      <c r="K1" s="12"/>
      <c r="L1" s="12"/>
      <c r="M1" s="12"/>
    </row>
    <row r="2" spans="1:14" ht="21" x14ac:dyDescent="0.4">
      <c r="A2" s="14" t="s">
        <v>106</v>
      </c>
      <c r="B2" s="15">
        <f>'Executive Summary'!B2</f>
        <v>45992</v>
      </c>
      <c r="C2" s="16"/>
      <c r="D2" s="16"/>
      <c r="E2" s="16"/>
      <c r="F2" s="16"/>
      <c r="G2" s="16"/>
      <c r="H2" s="16"/>
      <c r="I2" s="16"/>
      <c r="J2" s="16"/>
      <c r="K2" s="13"/>
      <c r="L2" s="13"/>
      <c r="M2" s="13"/>
    </row>
    <row r="4" spans="1:14" ht="34.200000000000003" customHeight="1" x14ac:dyDescent="0.3">
      <c r="A4" s="18" t="s">
        <v>107</v>
      </c>
      <c r="B4" s="18" t="s">
        <v>108</v>
      </c>
      <c r="C4" s="18" t="s">
        <v>109</v>
      </c>
      <c r="D4" s="19" t="s">
        <v>97</v>
      </c>
      <c r="E4" s="19" t="s">
        <v>110</v>
      </c>
      <c r="F4" s="19" t="s">
        <v>99</v>
      </c>
      <c r="G4" s="19" t="s">
        <v>100</v>
      </c>
      <c r="H4" s="19" t="s">
        <v>111</v>
      </c>
      <c r="I4" s="19" t="s">
        <v>112</v>
      </c>
      <c r="J4" s="20" t="s">
        <v>113</v>
      </c>
    </row>
    <row r="5" spans="1:14" x14ac:dyDescent="0.3">
      <c r="A5" s="17" t="str" cm="1">
        <f t="array" ref="A5:A29">_xlfn.UNIQUE(_xlfn._xlws.FILTER(tblStoreMonthly[store_name],tblStoreMonthly[month_year]=TEXT($B$2,"yyyy-mm")))</f>
        <v>FreshMart London 01</v>
      </c>
      <c r="B5" s="17" t="str">
        <f>_xlfn.XLOOKUP(A5,tblStoreMonthly[store_name],tblStoreMonthly[store_format])</f>
        <v>Supermarket</v>
      </c>
      <c r="C5" s="17" t="str">
        <f>_xlfn.XLOOKUP(A5,tblStoreMonthly[store_name],tblStoreMonthly[region])</f>
        <v>London</v>
      </c>
      <c r="D5" s="6" cm="1">
        <f t="array" ref="D5">_xlfn.XLOOKUP(1,(tblStoreMonthly[month_year]=TEXT($B$2,"yyyy-mm"))*(tblStoreMonthly[store_name]=A5),tblStoreMonthly[net_sales])</f>
        <v>15619.51</v>
      </c>
      <c r="E5" s="7" cm="1">
        <f t="array" ref="E5">_xlfn.XLOOKUP(1,(tblStoreMonthly[month_year]=TEXT($B$2,"yyyy-mm"))*(tblStoreMonthly[store_name]=A5),tblStoreMonthly[mom_sales_growth_pct])</f>
        <v>3.4</v>
      </c>
      <c r="F5" s="28" cm="1">
        <f t="array" ref="F5">_xlfn.XLOOKUP(1,(tblStoreMonthly[month_year]=TEXT($B$2,"yyyy-mm"))*(tblStoreMonthly[store_name]=A5),tblStoreMonthly[sales_target])</f>
        <v>15967.3</v>
      </c>
      <c r="G5" s="8" cm="1">
        <f t="array" ref="G5">_xlfn.XLOOKUP(
1,
(tblStoreMonthly[month_year]=TEXT($B$2,"yyyy-mm"))*
(tblStoreMonthly[store_name]=A5),
tblStoreMonthly[target_achievement_pct],
""
)</f>
        <v>97.82</v>
      </c>
      <c r="H5" s="29" cm="1">
        <f t="array" ref="H5">_xlfn.XLOOKUP(
1,
(tblStoreMonthly[month_year]=TEXT($B$2,"yyyy-mm"))*
(tblStoreMonthly[store_name]=A5),
tblStoreMonthly[sales_vs_target],
""
)</f>
        <v>-347.79</v>
      </c>
      <c r="I5" s="5">
        <f>_xlfn.RANK.EQ(G5,$G$5:$G$29,0)</f>
        <v>21</v>
      </c>
      <c r="J5" s="30" t="str">
        <f>IF(
AND(E5&lt;-5,G5&lt;95),
"Investigate",
"")</f>
        <v/>
      </c>
    </row>
    <row r="6" spans="1:14" x14ac:dyDescent="0.3">
      <c r="A6" s="17" t="str">
        <v>FreshMart South East 02</v>
      </c>
      <c r="B6" s="17" t="str">
        <f>_xlfn.XLOOKUP(A6,tblStoreMonthly[store_name],tblStoreMonthly[store_format])</f>
        <v>Supermarket</v>
      </c>
      <c r="C6" s="17" t="str">
        <f>_xlfn.XLOOKUP(A6,tblStoreMonthly[store_name],tblStoreMonthly[region])</f>
        <v>South East</v>
      </c>
      <c r="D6" s="6" cm="1">
        <f t="array" ref="D6">_xlfn.XLOOKUP(1,(tblStoreMonthly[month_year]=TEXT($B$2,"yyyy-mm"))*(tblStoreMonthly[store_name]=A6),tblStoreMonthly[net_sales])</f>
        <v>16483.11</v>
      </c>
      <c r="E6" s="7" cm="1">
        <f t="array" ref="E6">_xlfn.XLOOKUP(1,(tblStoreMonthly[month_year]=TEXT($B$2,"yyyy-mm"))*(tblStoreMonthly[store_name]=A6),tblStoreMonthly[mom_sales_growth_pct])</f>
        <v>8.82</v>
      </c>
      <c r="F6" s="28" cm="1">
        <f t="array" ref="F6">_xlfn.XLOOKUP(1,(tblStoreMonthly[month_year]=TEXT($B$2,"yyyy-mm"))*(tblStoreMonthly[store_name]=A6),tblStoreMonthly[sales_target])</f>
        <v>16554.330000000002</v>
      </c>
      <c r="G6" s="8" cm="1">
        <f t="array" ref="G6">_xlfn.XLOOKUP(
1,
(tblStoreMonthly[month_year]=TEXT($B$2,"yyyy-mm"))*
(tblStoreMonthly[store_name]=A6),
tblStoreMonthly[target_achievement_pct],
""
)</f>
        <v>99.57</v>
      </c>
      <c r="H6" s="29" cm="1">
        <f t="array" ref="H6">_xlfn.XLOOKUP(
1,
(tblStoreMonthly[month_year]=TEXT($B$2,"yyyy-mm"))*
(tblStoreMonthly[store_name]=A6),
tblStoreMonthly[sales_vs_target],
""
)</f>
        <v>-71.22</v>
      </c>
      <c r="I6" s="5">
        <f t="shared" ref="I6:I29" si="0">_xlfn.RANK.EQ(G6,$G$5:$G$29,0)</f>
        <v>17</v>
      </c>
      <c r="J6" s="30" t="str">
        <f t="shared" ref="J6:J29" si="1">IF(
AND(E6&lt;-5,G6&lt;95),
"Investigate",
"")</f>
        <v/>
      </c>
      <c r="N6" s="9"/>
    </row>
    <row r="7" spans="1:14" x14ac:dyDescent="0.3">
      <c r="A7" s="17" t="str">
        <v>FreshMart South West 03</v>
      </c>
      <c r="B7" s="17" t="str">
        <f>_xlfn.XLOOKUP(A7,tblStoreMonthly[store_name],tblStoreMonthly[store_format])</f>
        <v>Supermarket</v>
      </c>
      <c r="C7" s="17" t="str">
        <f>_xlfn.XLOOKUP(A7,tblStoreMonthly[store_name],tblStoreMonthly[region])</f>
        <v>South West</v>
      </c>
      <c r="D7" s="6" cm="1">
        <f t="array" ref="D7">_xlfn.XLOOKUP(1,(tblStoreMonthly[month_year]=TEXT($B$2,"yyyy-mm"))*(tblStoreMonthly[store_name]=A7),tblStoreMonthly[net_sales])</f>
        <v>16656.28</v>
      </c>
      <c r="E7" s="7" cm="1">
        <f t="array" ref="E7">_xlfn.XLOOKUP(1,(tblStoreMonthly[month_year]=TEXT($B$2,"yyyy-mm"))*(tblStoreMonthly[store_name]=A7),tblStoreMonthly[mom_sales_growth_pct])</f>
        <v>-0.56000000000000005</v>
      </c>
      <c r="F7" s="28" cm="1">
        <f t="array" ref="F7">_xlfn.XLOOKUP(1,(tblStoreMonthly[month_year]=TEXT($B$2,"yyyy-mm"))*(tblStoreMonthly[store_name]=A7),tblStoreMonthly[sales_target])</f>
        <v>16281.6</v>
      </c>
      <c r="G7" s="8" cm="1">
        <f t="array" ref="G7">_xlfn.XLOOKUP(
1,
(tblStoreMonthly[month_year]=TEXT($B$2,"yyyy-mm"))*
(tblStoreMonthly[store_name]=A7),
tblStoreMonthly[target_achievement_pct],
""
)</f>
        <v>102.3</v>
      </c>
      <c r="H7" s="29" cm="1">
        <f t="array" ref="H7">_xlfn.XLOOKUP(
1,
(tblStoreMonthly[month_year]=TEXT($B$2,"yyyy-mm"))*
(tblStoreMonthly[store_name]=A7),
tblStoreMonthly[sales_vs_target],
""
)</f>
        <v>374.68</v>
      </c>
      <c r="I7" s="5">
        <f t="shared" si="0"/>
        <v>14</v>
      </c>
      <c r="J7" s="30" t="str">
        <f t="shared" si="1"/>
        <v/>
      </c>
      <c r="N7" s="10"/>
    </row>
    <row r="8" spans="1:14" x14ac:dyDescent="0.3">
      <c r="A8" s="17" t="str">
        <v>FreshMart Midlands 04</v>
      </c>
      <c r="B8" s="17" t="str">
        <f>_xlfn.XLOOKUP(A8,tblStoreMonthly[store_name],tblStoreMonthly[store_format])</f>
        <v>Supermarket</v>
      </c>
      <c r="C8" s="17" t="str">
        <f>_xlfn.XLOOKUP(A8,tblStoreMonthly[store_name],tblStoreMonthly[region])</f>
        <v>Midlands</v>
      </c>
      <c r="D8" s="6" cm="1">
        <f t="array" ref="D8">_xlfn.XLOOKUP(1,(tblStoreMonthly[month_year]=TEXT($B$2,"yyyy-mm"))*(tblStoreMonthly[store_name]=A8),tblStoreMonthly[net_sales])</f>
        <v>16617.28</v>
      </c>
      <c r="E8" s="7" cm="1">
        <f t="array" ref="E8">_xlfn.XLOOKUP(1,(tblStoreMonthly[month_year]=TEXT($B$2,"yyyy-mm"))*(tblStoreMonthly[store_name]=A8),tblStoreMonthly[mom_sales_growth_pct])</f>
        <v>5.57</v>
      </c>
      <c r="F8" s="28" cm="1">
        <f t="array" ref="F8">_xlfn.XLOOKUP(1,(tblStoreMonthly[month_year]=TEXT($B$2,"yyyy-mm"))*(tblStoreMonthly[store_name]=A8),tblStoreMonthly[sales_target])</f>
        <v>16127.97</v>
      </c>
      <c r="G8" s="8" cm="1">
        <f t="array" ref="G8">_xlfn.XLOOKUP(
1,
(tblStoreMonthly[month_year]=TEXT($B$2,"yyyy-mm"))*
(tblStoreMonthly[store_name]=A8),
tblStoreMonthly[target_achievement_pct],
""
)</f>
        <v>103.03</v>
      </c>
      <c r="H8" s="29" cm="1">
        <f t="array" ref="H8">_xlfn.XLOOKUP(
1,
(tblStoreMonthly[month_year]=TEXT($B$2,"yyyy-mm"))*
(tblStoreMonthly[store_name]=A8),
tblStoreMonthly[sales_vs_target],
""
)</f>
        <v>489.31</v>
      </c>
      <c r="I8" s="5">
        <f t="shared" si="0"/>
        <v>11</v>
      </c>
      <c r="J8" s="30" t="str">
        <f t="shared" si="1"/>
        <v/>
      </c>
      <c r="N8" s="10"/>
    </row>
    <row r="9" spans="1:14" x14ac:dyDescent="0.3">
      <c r="A9" s="17" t="str">
        <v>FreshMart North West 05</v>
      </c>
      <c r="B9" s="17" t="str">
        <f>_xlfn.XLOOKUP(A9,tblStoreMonthly[store_name],tblStoreMonthly[store_format])</f>
        <v>Supermarket</v>
      </c>
      <c r="C9" s="17" t="str">
        <f>_xlfn.XLOOKUP(A9,tblStoreMonthly[store_name],tblStoreMonthly[region])</f>
        <v>North West</v>
      </c>
      <c r="D9" s="6" cm="1">
        <f t="array" ref="D9">_xlfn.XLOOKUP(1,(tblStoreMonthly[month_year]=TEXT($B$2,"yyyy-mm"))*(tblStoreMonthly[store_name]=A9),tblStoreMonthly[net_sales])</f>
        <v>15932.61</v>
      </c>
      <c r="E9" s="7" cm="1">
        <f t="array" ref="E9">_xlfn.XLOOKUP(1,(tblStoreMonthly[month_year]=TEXT($B$2,"yyyy-mm"))*(tblStoreMonthly[store_name]=A9),tblStoreMonthly[mom_sales_growth_pct])</f>
        <v>10.72</v>
      </c>
      <c r="F9" s="28" cm="1">
        <f t="array" ref="F9">_xlfn.XLOOKUP(1,(tblStoreMonthly[month_year]=TEXT($B$2,"yyyy-mm"))*(tblStoreMonthly[store_name]=A9),tblStoreMonthly[sales_target])</f>
        <v>16507.13</v>
      </c>
      <c r="G9" s="8" cm="1">
        <f t="array" ref="G9">_xlfn.XLOOKUP(
1,
(tblStoreMonthly[month_year]=TEXT($B$2,"yyyy-mm"))*
(tblStoreMonthly[store_name]=A9),
tblStoreMonthly[target_achievement_pct],
""
)</f>
        <v>96.52</v>
      </c>
      <c r="H9" s="29" cm="1">
        <f t="array" ref="H9">_xlfn.XLOOKUP(
1,
(tblStoreMonthly[month_year]=TEXT($B$2,"yyyy-mm"))*
(tblStoreMonthly[store_name]=A9),
tblStoreMonthly[sales_vs_target],
""
)</f>
        <v>-574.52</v>
      </c>
      <c r="I9" s="5">
        <f t="shared" si="0"/>
        <v>23</v>
      </c>
      <c r="J9" s="30" t="str">
        <f t="shared" si="1"/>
        <v/>
      </c>
      <c r="N9" s="10"/>
    </row>
    <row r="10" spans="1:14" x14ac:dyDescent="0.3">
      <c r="A10" s="17" t="str">
        <v>FreshMart London 06</v>
      </c>
      <c r="B10" s="17" t="str">
        <f>_xlfn.XLOOKUP(A10,tblStoreMonthly[store_name],tblStoreMonthly[store_format])</f>
        <v>Supermarket</v>
      </c>
      <c r="C10" s="17" t="str">
        <f>_xlfn.XLOOKUP(A10,tblStoreMonthly[store_name],tblStoreMonthly[region])</f>
        <v>London</v>
      </c>
      <c r="D10" s="6" cm="1">
        <f t="array" ref="D10">_xlfn.XLOOKUP(1,(tblStoreMonthly[month_year]=TEXT($B$2,"yyyy-mm"))*(tblStoreMonthly[store_name]=A10),tblStoreMonthly[net_sales])</f>
        <v>15671.63</v>
      </c>
      <c r="E10" s="7" cm="1">
        <f t="array" ref="E10">_xlfn.XLOOKUP(1,(tblStoreMonthly[month_year]=TEXT($B$2,"yyyy-mm"))*(tblStoreMonthly[store_name]=A10),tblStoreMonthly[mom_sales_growth_pct])</f>
        <v>5.01</v>
      </c>
      <c r="F10" s="28" cm="1">
        <f t="array" ref="F10">_xlfn.XLOOKUP(1,(tblStoreMonthly[month_year]=TEXT($B$2,"yyyy-mm"))*(tblStoreMonthly[store_name]=A10),tblStoreMonthly[sales_target])</f>
        <v>14780.06</v>
      </c>
      <c r="G10" s="8" cm="1">
        <f t="array" ref="G10">_xlfn.XLOOKUP(
1,
(tblStoreMonthly[month_year]=TEXT($B$2,"yyyy-mm"))*
(tblStoreMonthly[store_name]=A10),
tblStoreMonthly[target_achievement_pct],
""
)</f>
        <v>106.03</v>
      </c>
      <c r="H10" s="29" cm="1">
        <f t="array" ref="H10">_xlfn.XLOOKUP(
1,
(tblStoreMonthly[month_year]=TEXT($B$2,"yyyy-mm"))*
(tblStoreMonthly[store_name]=A10),
tblStoreMonthly[sales_vs_target],
""
)</f>
        <v>891.57</v>
      </c>
      <c r="I10" s="5">
        <f t="shared" si="0"/>
        <v>1</v>
      </c>
      <c r="J10" s="30" t="str">
        <f t="shared" si="1"/>
        <v/>
      </c>
      <c r="N10" s="10"/>
    </row>
    <row r="11" spans="1:14" x14ac:dyDescent="0.3">
      <c r="A11" s="17" t="str">
        <v>FreshMart South East 07</v>
      </c>
      <c r="B11" s="17" t="str">
        <f>_xlfn.XLOOKUP(A11,tblStoreMonthly[store_name],tblStoreMonthly[store_format])</f>
        <v>Supermarket</v>
      </c>
      <c r="C11" s="17" t="str">
        <f>_xlfn.XLOOKUP(A11,tblStoreMonthly[store_name],tblStoreMonthly[region])</f>
        <v>South East</v>
      </c>
      <c r="D11" s="6" cm="1">
        <f t="array" ref="D11">_xlfn.XLOOKUP(1,(tblStoreMonthly[month_year]=TEXT($B$2,"yyyy-mm"))*(tblStoreMonthly[store_name]=A11),tblStoreMonthly[net_sales])</f>
        <v>16509.62</v>
      </c>
      <c r="E11" s="7" cm="1">
        <f t="array" ref="E11">_xlfn.XLOOKUP(1,(tblStoreMonthly[month_year]=TEXT($B$2,"yyyy-mm"))*(tblStoreMonthly[store_name]=A11),tblStoreMonthly[mom_sales_growth_pct])</f>
        <v>1.21</v>
      </c>
      <c r="F11" s="28" cm="1">
        <f t="array" ref="F11">_xlfn.XLOOKUP(1,(tblStoreMonthly[month_year]=TEXT($B$2,"yyyy-mm"))*(tblStoreMonthly[store_name]=A11),tblStoreMonthly[sales_target])</f>
        <v>15954.2</v>
      </c>
      <c r="G11" s="8" cm="1">
        <f t="array" ref="G11">_xlfn.XLOOKUP(
1,
(tblStoreMonthly[month_year]=TEXT($B$2,"yyyy-mm"))*
(tblStoreMonthly[store_name]=A11),
tblStoreMonthly[target_achievement_pct],
""
)</f>
        <v>103.48</v>
      </c>
      <c r="H11" s="29" cm="1">
        <f t="array" ref="H11">_xlfn.XLOOKUP(
1,
(tblStoreMonthly[month_year]=TEXT($B$2,"yyyy-mm"))*
(tblStoreMonthly[store_name]=A11),
tblStoreMonthly[sales_vs_target],
""
)</f>
        <v>555.41999999999996</v>
      </c>
      <c r="I11" s="5">
        <f t="shared" si="0"/>
        <v>4</v>
      </c>
      <c r="J11" s="30" t="str">
        <f t="shared" si="1"/>
        <v/>
      </c>
      <c r="N11" s="11"/>
    </row>
    <row r="12" spans="1:14" x14ac:dyDescent="0.3">
      <c r="A12" s="17" t="str">
        <v>FreshMart South West 08</v>
      </c>
      <c r="B12" s="17" t="str">
        <f>_xlfn.XLOOKUP(A12,tblStoreMonthly[store_name],tblStoreMonthly[store_format])</f>
        <v>Supermarket</v>
      </c>
      <c r="C12" s="17" t="str">
        <f>_xlfn.XLOOKUP(A12,tblStoreMonthly[store_name],tblStoreMonthly[region])</f>
        <v>South West</v>
      </c>
      <c r="D12" s="6" cm="1">
        <f t="array" ref="D12">_xlfn.XLOOKUP(1,(tblStoreMonthly[month_year]=TEXT($B$2,"yyyy-mm"))*(tblStoreMonthly[store_name]=A12),tblStoreMonthly[net_sales])</f>
        <v>17344.16</v>
      </c>
      <c r="E12" s="7" cm="1">
        <f t="array" ref="E12">_xlfn.XLOOKUP(1,(tblStoreMonthly[month_year]=TEXT($B$2,"yyyy-mm"))*(tblStoreMonthly[store_name]=A12),tblStoreMonthly[mom_sales_growth_pct])</f>
        <v>6.72</v>
      </c>
      <c r="F12" s="28" cm="1">
        <f t="array" ref="F12">_xlfn.XLOOKUP(1,(tblStoreMonthly[month_year]=TEXT($B$2,"yyyy-mm"))*(tblStoreMonthly[store_name]=A12),tblStoreMonthly[sales_target])</f>
        <v>16826.490000000002</v>
      </c>
      <c r="G12" s="8" cm="1">
        <f t="array" ref="G12">_xlfn.XLOOKUP(
1,
(tblStoreMonthly[month_year]=TEXT($B$2,"yyyy-mm"))*
(tblStoreMonthly[store_name]=A12),
tblStoreMonthly[target_achievement_pct],
""
)</f>
        <v>103.08</v>
      </c>
      <c r="H12" s="29" cm="1">
        <f t="array" ref="H12">_xlfn.XLOOKUP(
1,
(tblStoreMonthly[month_year]=TEXT($B$2,"yyyy-mm"))*
(tblStoreMonthly[store_name]=A12),
tblStoreMonthly[sales_vs_target],
""
)</f>
        <v>517.66999999999996</v>
      </c>
      <c r="I12" s="5">
        <f t="shared" si="0"/>
        <v>9</v>
      </c>
      <c r="J12" s="30" t="str">
        <f t="shared" si="1"/>
        <v/>
      </c>
    </row>
    <row r="13" spans="1:14" x14ac:dyDescent="0.3">
      <c r="A13" s="17" t="str">
        <v>FreshMart Midlands 09</v>
      </c>
      <c r="B13" s="17" t="str">
        <f>_xlfn.XLOOKUP(A13,tblStoreMonthly[store_name],tblStoreMonthly[store_format])</f>
        <v>Supermarket</v>
      </c>
      <c r="C13" s="17" t="str">
        <f>_xlfn.XLOOKUP(A13,tblStoreMonthly[store_name],tblStoreMonthly[region])</f>
        <v>Midlands</v>
      </c>
      <c r="D13" s="6" cm="1">
        <f t="array" ref="D13">_xlfn.XLOOKUP(1,(tblStoreMonthly[month_year]=TEXT($B$2,"yyyy-mm"))*(tblStoreMonthly[store_name]=A13),tblStoreMonthly[net_sales])</f>
        <v>15542.38</v>
      </c>
      <c r="E13" s="7" cm="1">
        <f t="array" ref="E13">_xlfn.XLOOKUP(1,(tblStoreMonthly[month_year]=TEXT($B$2,"yyyy-mm"))*(tblStoreMonthly[store_name]=A13),tblStoreMonthly[mom_sales_growth_pct])</f>
        <v>1.93</v>
      </c>
      <c r="F13" s="28" cm="1">
        <f t="array" ref="F13">_xlfn.XLOOKUP(1,(tblStoreMonthly[month_year]=TEXT($B$2,"yyyy-mm"))*(tblStoreMonthly[store_name]=A13),tblStoreMonthly[sales_target])</f>
        <v>15025.77</v>
      </c>
      <c r="G13" s="8" cm="1">
        <f t="array" ref="G13">_xlfn.XLOOKUP(
1,
(tblStoreMonthly[month_year]=TEXT($B$2,"yyyy-mm"))*
(tblStoreMonthly[store_name]=A13),
tblStoreMonthly[target_achievement_pct],
""
)</f>
        <v>103.44</v>
      </c>
      <c r="H13" s="29" cm="1">
        <f t="array" ref="H13">_xlfn.XLOOKUP(
1,
(tblStoreMonthly[month_year]=TEXT($B$2,"yyyy-mm"))*
(tblStoreMonthly[store_name]=A13),
tblStoreMonthly[sales_vs_target],
""
)</f>
        <v>516.61</v>
      </c>
      <c r="I13" s="5">
        <f t="shared" si="0"/>
        <v>7</v>
      </c>
      <c r="J13" s="30" t="str">
        <f t="shared" si="1"/>
        <v/>
      </c>
    </row>
    <row r="14" spans="1:14" x14ac:dyDescent="0.3">
      <c r="A14" s="17" t="str">
        <v>FreshMart North West 10</v>
      </c>
      <c r="B14" s="17" t="str">
        <f>_xlfn.XLOOKUP(A14,tblStoreMonthly[store_name],tblStoreMonthly[store_format])</f>
        <v>Supermarket</v>
      </c>
      <c r="C14" s="17" t="str">
        <f>_xlfn.XLOOKUP(A14,tblStoreMonthly[store_name],tblStoreMonthly[region])</f>
        <v>North West</v>
      </c>
      <c r="D14" s="6" cm="1">
        <f t="array" ref="D14">_xlfn.XLOOKUP(1,(tblStoreMonthly[month_year]=TEXT($B$2,"yyyy-mm"))*(tblStoreMonthly[store_name]=A14),tblStoreMonthly[net_sales])</f>
        <v>17475.84</v>
      </c>
      <c r="E14" s="7" cm="1">
        <f t="array" ref="E14">_xlfn.XLOOKUP(1,(tblStoreMonthly[month_year]=TEXT($B$2,"yyyy-mm"))*(tblStoreMonthly[store_name]=A14),tblStoreMonthly[mom_sales_growth_pct])</f>
        <v>-0.17</v>
      </c>
      <c r="F14" s="28" cm="1">
        <f t="array" ref="F14">_xlfn.XLOOKUP(1,(tblStoreMonthly[month_year]=TEXT($B$2,"yyyy-mm"))*(tblStoreMonthly[store_name]=A14),tblStoreMonthly[sales_target])</f>
        <v>17864.96</v>
      </c>
      <c r="G14" s="8" cm="1">
        <f t="array" ref="G14">_xlfn.XLOOKUP(
1,
(tblStoreMonthly[month_year]=TEXT($B$2,"yyyy-mm"))*
(tblStoreMonthly[store_name]=A14),
tblStoreMonthly[target_achievement_pct],
""
)</f>
        <v>97.82</v>
      </c>
      <c r="H14" s="29" cm="1">
        <f t="array" ref="H14">_xlfn.XLOOKUP(
1,
(tblStoreMonthly[month_year]=TEXT($B$2,"yyyy-mm"))*
(tblStoreMonthly[store_name]=A14),
tblStoreMonthly[sales_vs_target],
""
)</f>
        <v>-389.12</v>
      </c>
      <c r="I14" s="5">
        <f t="shared" si="0"/>
        <v>21</v>
      </c>
      <c r="J14" s="30" t="str">
        <f t="shared" si="1"/>
        <v/>
      </c>
    </row>
    <row r="15" spans="1:14" x14ac:dyDescent="0.3">
      <c r="A15" s="17" t="str">
        <v>FreshMart London 11</v>
      </c>
      <c r="B15" s="17" t="str">
        <f>_xlfn.XLOOKUP(A15,tblStoreMonthly[store_name],tblStoreMonthly[store_format])</f>
        <v>Supermarket</v>
      </c>
      <c r="C15" s="17" t="str">
        <f>_xlfn.XLOOKUP(A15,tblStoreMonthly[store_name],tblStoreMonthly[region])</f>
        <v>London</v>
      </c>
      <c r="D15" s="6" cm="1">
        <f t="array" ref="D15">_xlfn.XLOOKUP(1,(tblStoreMonthly[month_year]=TEXT($B$2,"yyyy-mm"))*(tblStoreMonthly[store_name]=A15),tblStoreMonthly[net_sales])</f>
        <v>17409.310000000001</v>
      </c>
      <c r="E15" s="7" cm="1">
        <f t="array" ref="E15">_xlfn.XLOOKUP(1,(tblStoreMonthly[month_year]=TEXT($B$2,"yyyy-mm"))*(tblStoreMonthly[store_name]=A15),tblStoreMonthly[mom_sales_growth_pct])</f>
        <v>14.65</v>
      </c>
      <c r="F15" s="28" cm="1">
        <f t="array" ref="F15">_xlfn.XLOOKUP(1,(tblStoreMonthly[month_year]=TEXT($B$2,"yyyy-mm"))*(tblStoreMonthly[store_name]=A15),tblStoreMonthly[sales_target])</f>
        <v>17484.54</v>
      </c>
      <c r="G15" s="8" cm="1">
        <f t="array" ref="G15">_xlfn.XLOOKUP(
1,
(tblStoreMonthly[month_year]=TEXT($B$2,"yyyy-mm"))*
(tblStoreMonthly[store_name]=A15),
tblStoreMonthly[target_achievement_pct],
""
)</f>
        <v>99.57</v>
      </c>
      <c r="H15" s="29" cm="1">
        <f t="array" ref="H15">_xlfn.XLOOKUP(
1,
(tblStoreMonthly[month_year]=TEXT($B$2,"yyyy-mm"))*
(tblStoreMonthly[store_name]=A15),
tblStoreMonthly[sales_vs_target],
""
)</f>
        <v>-75.23</v>
      </c>
      <c r="I15" s="5">
        <f t="shared" si="0"/>
        <v>17</v>
      </c>
      <c r="J15" s="30" t="str">
        <f t="shared" si="1"/>
        <v/>
      </c>
    </row>
    <row r="16" spans="1:14" x14ac:dyDescent="0.3">
      <c r="A16" s="17" t="str">
        <v>FreshMart South East 12</v>
      </c>
      <c r="B16" s="17" t="str">
        <f>_xlfn.XLOOKUP(A16,tblStoreMonthly[store_name],tblStoreMonthly[store_format])</f>
        <v>Supermarket</v>
      </c>
      <c r="C16" s="17" t="str">
        <f>_xlfn.XLOOKUP(A16,tblStoreMonthly[store_name],tblStoreMonthly[region])</f>
        <v>South East</v>
      </c>
      <c r="D16" s="6" cm="1">
        <f t="array" ref="D16">_xlfn.XLOOKUP(1,(tblStoreMonthly[month_year]=TEXT($B$2,"yyyy-mm"))*(tblStoreMonthly[store_name]=A16),tblStoreMonthly[net_sales])</f>
        <v>16480.810000000001</v>
      </c>
      <c r="E16" s="7" cm="1">
        <f t="array" ref="E16">_xlfn.XLOOKUP(1,(tblStoreMonthly[month_year]=TEXT($B$2,"yyyy-mm"))*(tblStoreMonthly[store_name]=A16),tblStoreMonthly[mom_sales_growth_pct])</f>
        <v>1.06</v>
      </c>
      <c r="F16" s="28" cm="1">
        <f t="array" ref="F16">_xlfn.XLOOKUP(1,(tblStoreMonthly[month_year]=TEXT($B$2,"yyyy-mm"))*(tblStoreMonthly[store_name]=A16),tblStoreMonthly[sales_target])</f>
        <v>16110.08</v>
      </c>
      <c r="G16" s="8" cm="1">
        <f t="array" ref="G16">_xlfn.XLOOKUP(
1,
(tblStoreMonthly[month_year]=TEXT($B$2,"yyyy-mm"))*
(tblStoreMonthly[store_name]=A16),
tblStoreMonthly[target_achievement_pct],
""
)</f>
        <v>102.3</v>
      </c>
      <c r="H16" s="29" cm="1">
        <f t="array" ref="H16">_xlfn.XLOOKUP(
1,
(tblStoreMonthly[month_year]=TEXT($B$2,"yyyy-mm"))*
(tblStoreMonthly[store_name]=A16),
tblStoreMonthly[sales_vs_target],
""
)</f>
        <v>370.73</v>
      </c>
      <c r="I16" s="5">
        <f t="shared" si="0"/>
        <v>14</v>
      </c>
      <c r="J16" s="30" t="str">
        <f t="shared" si="1"/>
        <v/>
      </c>
    </row>
    <row r="17" spans="1:10" x14ac:dyDescent="0.3">
      <c r="A17" s="17" t="str">
        <v>FreshMart South West 13</v>
      </c>
      <c r="B17" s="17" t="str">
        <f>_xlfn.XLOOKUP(A17,tblStoreMonthly[store_name],tblStoreMonthly[store_format])</f>
        <v>Supermarket</v>
      </c>
      <c r="C17" s="17" t="str">
        <f>_xlfn.XLOOKUP(A17,tblStoreMonthly[store_name],tblStoreMonthly[region])</f>
        <v>South West</v>
      </c>
      <c r="D17" s="6" cm="1">
        <f t="array" ref="D17">_xlfn.XLOOKUP(1,(tblStoreMonthly[month_year]=TEXT($B$2,"yyyy-mm"))*(tblStoreMonthly[store_name]=A17),tblStoreMonthly[net_sales])</f>
        <v>17090.96</v>
      </c>
      <c r="E17" s="7" cm="1">
        <f t="array" ref="E17">_xlfn.XLOOKUP(1,(tblStoreMonthly[month_year]=TEXT($B$2,"yyyy-mm"))*(tblStoreMonthly[store_name]=A17),tblStoreMonthly[mom_sales_growth_pct])</f>
        <v>8.2899999999999991</v>
      </c>
      <c r="F17" s="28" cm="1">
        <f t="array" ref="F17">_xlfn.XLOOKUP(1,(tblStoreMonthly[month_year]=TEXT($B$2,"yyyy-mm"))*(tblStoreMonthly[store_name]=A17),tblStoreMonthly[sales_target])</f>
        <v>16587.7</v>
      </c>
      <c r="G17" s="8" cm="1">
        <f t="array" ref="G17">_xlfn.XLOOKUP(
1,
(tblStoreMonthly[month_year]=TEXT($B$2,"yyyy-mm"))*
(tblStoreMonthly[store_name]=A17),
tblStoreMonthly[target_achievement_pct],
""
)</f>
        <v>103.03</v>
      </c>
      <c r="H17" s="29" cm="1">
        <f t="array" ref="H17">_xlfn.XLOOKUP(
1,
(tblStoreMonthly[month_year]=TEXT($B$2,"yyyy-mm"))*
(tblStoreMonthly[store_name]=A17),
tblStoreMonthly[sales_vs_target],
""
)</f>
        <v>503.26</v>
      </c>
      <c r="I17" s="5">
        <f t="shared" si="0"/>
        <v>11</v>
      </c>
      <c r="J17" s="30" t="str">
        <f t="shared" si="1"/>
        <v/>
      </c>
    </row>
    <row r="18" spans="1:10" x14ac:dyDescent="0.3">
      <c r="A18" s="17" t="str">
        <v>FreshMart Midlands 14</v>
      </c>
      <c r="B18" s="17" t="str">
        <f>_xlfn.XLOOKUP(A18,tblStoreMonthly[store_name],tblStoreMonthly[store_format])</f>
        <v>Supermarket</v>
      </c>
      <c r="C18" s="17" t="str">
        <f>_xlfn.XLOOKUP(A18,tblStoreMonthly[store_name],tblStoreMonthly[region])</f>
        <v>Midlands</v>
      </c>
      <c r="D18" s="6" cm="1">
        <f t="array" ref="D18">_xlfn.XLOOKUP(1,(tblStoreMonthly[month_year]=TEXT($B$2,"yyyy-mm"))*(tblStoreMonthly[store_name]=A18),tblStoreMonthly[net_sales])</f>
        <v>16200.74</v>
      </c>
      <c r="E18" s="7" cm="1">
        <f t="array" ref="E18">_xlfn.XLOOKUP(1,(tblStoreMonthly[month_year]=TEXT($B$2,"yyyy-mm"))*(tblStoreMonthly[store_name]=A18),tblStoreMonthly[mom_sales_growth_pct])</f>
        <v>-7.09</v>
      </c>
      <c r="F18" s="28" cm="1">
        <f t="array" ref="F18">_xlfn.XLOOKUP(1,(tblStoreMonthly[month_year]=TEXT($B$2,"yyyy-mm"))*(tblStoreMonthly[store_name]=A18),tblStoreMonthly[sales_target])</f>
        <v>16784.93</v>
      </c>
      <c r="G18" s="8" cm="1">
        <f t="array" ref="G18">_xlfn.XLOOKUP(
1,
(tblStoreMonthly[month_year]=TEXT($B$2,"yyyy-mm"))*
(tblStoreMonthly[store_name]=A18),
tblStoreMonthly[target_achievement_pct],
""
)</f>
        <v>96.52</v>
      </c>
      <c r="H18" s="29" cm="1">
        <f t="array" ref="H18">_xlfn.XLOOKUP(
1,
(tblStoreMonthly[month_year]=TEXT($B$2,"yyyy-mm"))*
(tblStoreMonthly[store_name]=A18),
tblStoreMonthly[sales_vs_target],
""
)</f>
        <v>-584.19000000000005</v>
      </c>
      <c r="I18" s="5">
        <f t="shared" si="0"/>
        <v>23</v>
      </c>
      <c r="J18" s="30" t="str">
        <f t="shared" si="1"/>
        <v/>
      </c>
    </row>
    <row r="19" spans="1:10" x14ac:dyDescent="0.3">
      <c r="A19" s="17" t="str">
        <v>FreshMart North West 15</v>
      </c>
      <c r="B19" s="17" t="str">
        <f>_xlfn.XLOOKUP(A19,tblStoreMonthly[store_name],tblStoreMonthly[store_format])</f>
        <v>Supermarket</v>
      </c>
      <c r="C19" s="17" t="str">
        <f>_xlfn.XLOOKUP(A19,tblStoreMonthly[store_name],tblStoreMonthly[region])</f>
        <v>North West</v>
      </c>
      <c r="D19" s="6" cm="1">
        <f t="array" ref="D19">_xlfn.XLOOKUP(1,(tblStoreMonthly[month_year]=TEXT($B$2,"yyyy-mm"))*(tblStoreMonthly[store_name]=A19),tblStoreMonthly[net_sales])</f>
        <v>15929.46</v>
      </c>
      <c r="E19" s="7" cm="1">
        <f t="array" ref="E19">_xlfn.XLOOKUP(1,(tblStoreMonthly[month_year]=TEXT($B$2,"yyyy-mm"))*(tblStoreMonthly[store_name]=A19),tblStoreMonthly[mom_sales_growth_pct])</f>
        <v>-3.07</v>
      </c>
      <c r="F19" s="28" cm="1">
        <f t="array" ref="F19">_xlfn.XLOOKUP(1,(tblStoreMonthly[month_year]=TEXT($B$2,"yyyy-mm"))*(tblStoreMonthly[store_name]=A19),tblStoreMonthly[sales_target])</f>
        <v>15023.22</v>
      </c>
      <c r="G19" s="8" cm="1">
        <f t="array" ref="G19">_xlfn.XLOOKUP(
1,
(tblStoreMonthly[month_year]=TEXT($B$2,"yyyy-mm"))*
(tblStoreMonthly[store_name]=A19),
tblStoreMonthly[target_achievement_pct],
""
)</f>
        <v>106.03</v>
      </c>
      <c r="H19" s="29" cm="1">
        <f t="array" ref="H19">_xlfn.XLOOKUP(
1,
(tblStoreMonthly[month_year]=TEXT($B$2,"yyyy-mm"))*
(tblStoreMonthly[store_name]=A19),
tblStoreMonthly[sales_vs_target],
""
)</f>
        <v>906.24</v>
      </c>
      <c r="I19" s="5">
        <f t="shared" si="0"/>
        <v>1</v>
      </c>
      <c r="J19" s="30" t="str">
        <f t="shared" si="1"/>
        <v/>
      </c>
    </row>
    <row r="20" spans="1:10" x14ac:dyDescent="0.3">
      <c r="A20" s="17" t="str">
        <v>FreshMart London 16</v>
      </c>
      <c r="B20" s="17" t="str">
        <f>_xlfn.XLOOKUP(A20,tblStoreMonthly[store_name],tblStoreMonthly[store_format])</f>
        <v>Supermarket</v>
      </c>
      <c r="C20" s="17" t="str">
        <f>_xlfn.XLOOKUP(A20,tblStoreMonthly[store_name],tblStoreMonthly[region])</f>
        <v>London</v>
      </c>
      <c r="D20" s="6" cm="1">
        <f t="array" ref="D20">_xlfn.XLOOKUP(1,(tblStoreMonthly[month_year]=TEXT($B$2,"yyyy-mm"))*(tblStoreMonthly[store_name]=A20),tblStoreMonthly[net_sales])</f>
        <v>16010.7</v>
      </c>
      <c r="E20" s="7" cm="1">
        <f t="array" ref="E20">_xlfn.XLOOKUP(1,(tblStoreMonthly[month_year]=TEXT($B$2,"yyyy-mm"))*(tblStoreMonthly[store_name]=A20),tblStoreMonthly[mom_sales_growth_pct])</f>
        <v>2.76</v>
      </c>
      <c r="F20" s="28" cm="1">
        <f t="array" ref="F20">_xlfn.XLOOKUP(1,(tblStoreMonthly[month_year]=TEXT($B$2,"yyyy-mm"))*(tblStoreMonthly[store_name]=A20),tblStoreMonthly[sales_target])</f>
        <v>15472.06</v>
      </c>
      <c r="G20" s="8" cm="1">
        <f t="array" ref="G20">_xlfn.XLOOKUP(
1,
(tblStoreMonthly[month_year]=TEXT($B$2,"yyyy-mm"))*
(tblStoreMonthly[store_name]=A20),
tblStoreMonthly[target_achievement_pct],
""
)</f>
        <v>103.48</v>
      </c>
      <c r="H20" s="29" cm="1">
        <f t="array" ref="H20">_xlfn.XLOOKUP(
1,
(tblStoreMonthly[month_year]=TEXT($B$2,"yyyy-mm"))*
(tblStoreMonthly[store_name]=A20),
tblStoreMonthly[sales_vs_target],
""
)</f>
        <v>538.64</v>
      </c>
      <c r="I20" s="5">
        <f t="shared" si="0"/>
        <v>4</v>
      </c>
      <c r="J20" s="30" t="str">
        <f t="shared" si="1"/>
        <v/>
      </c>
    </row>
    <row r="21" spans="1:10" x14ac:dyDescent="0.3">
      <c r="A21" s="17" t="str">
        <v>FreshMart South East 17</v>
      </c>
      <c r="B21" s="17" t="str">
        <f>_xlfn.XLOOKUP(A21,tblStoreMonthly[store_name],tblStoreMonthly[store_format])</f>
        <v>Supermarket</v>
      </c>
      <c r="C21" s="17" t="str">
        <f>_xlfn.XLOOKUP(A21,tblStoreMonthly[store_name],tblStoreMonthly[region])</f>
        <v>South East</v>
      </c>
      <c r="D21" s="6" cm="1">
        <f t="array" ref="D21">_xlfn.XLOOKUP(1,(tblStoreMonthly[month_year]=TEXT($B$2,"yyyy-mm"))*(tblStoreMonthly[store_name]=A21),tblStoreMonthly[net_sales])</f>
        <v>16932.240000000002</v>
      </c>
      <c r="E21" s="7" cm="1">
        <f t="array" ref="E21">_xlfn.XLOOKUP(1,(tblStoreMonthly[month_year]=TEXT($B$2,"yyyy-mm"))*(tblStoreMonthly[store_name]=A21),tblStoreMonthly[mom_sales_growth_pct])</f>
        <v>6.65</v>
      </c>
      <c r="F21" s="28" cm="1">
        <f t="array" ref="F21">_xlfn.XLOOKUP(1,(tblStoreMonthly[month_year]=TEXT($B$2,"yyyy-mm"))*(tblStoreMonthly[store_name]=A21),tblStoreMonthly[sales_target])</f>
        <v>16426.86</v>
      </c>
      <c r="G21" s="8" cm="1">
        <f t="array" ref="G21">_xlfn.XLOOKUP(
1,
(tblStoreMonthly[month_year]=TEXT($B$2,"yyyy-mm"))*
(tblStoreMonthly[store_name]=A21),
tblStoreMonthly[target_achievement_pct],
""
)</f>
        <v>103.08</v>
      </c>
      <c r="H21" s="29" cm="1">
        <f t="array" ref="H21">_xlfn.XLOOKUP(
1,
(tblStoreMonthly[month_year]=TEXT($B$2,"yyyy-mm"))*
(tblStoreMonthly[store_name]=A21),
tblStoreMonthly[sales_vs_target],
""
)</f>
        <v>505.38</v>
      </c>
      <c r="I21" s="5">
        <f t="shared" si="0"/>
        <v>9</v>
      </c>
      <c r="J21" s="30" t="str">
        <f t="shared" si="1"/>
        <v/>
      </c>
    </row>
    <row r="22" spans="1:10" x14ac:dyDescent="0.3">
      <c r="A22" s="17" t="str">
        <v>FreshMart South West 18</v>
      </c>
      <c r="B22" s="17" t="str">
        <f>_xlfn.XLOOKUP(A22,tblStoreMonthly[store_name],tblStoreMonthly[store_format])</f>
        <v>Supermarket</v>
      </c>
      <c r="C22" s="17" t="str">
        <f>_xlfn.XLOOKUP(A22,tblStoreMonthly[store_name],tblStoreMonthly[region])</f>
        <v>South West</v>
      </c>
      <c r="D22" s="6" cm="1">
        <f t="array" ref="D22">_xlfn.XLOOKUP(1,(tblStoreMonthly[month_year]=TEXT($B$2,"yyyy-mm"))*(tblStoreMonthly[store_name]=A22),tblStoreMonthly[net_sales])</f>
        <v>16263.43</v>
      </c>
      <c r="E22" s="7" cm="1">
        <f t="array" ref="E22">_xlfn.XLOOKUP(1,(tblStoreMonthly[month_year]=TEXT($B$2,"yyyy-mm"))*(tblStoreMonthly[store_name]=A22),tblStoreMonthly[mom_sales_growth_pct])</f>
        <v>-1.03</v>
      </c>
      <c r="F22" s="28" cm="1">
        <f t="array" ref="F22">_xlfn.XLOOKUP(1,(tblStoreMonthly[month_year]=TEXT($B$2,"yyyy-mm"))*(tblStoreMonthly[store_name]=A22),tblStoreMonthly[sales_target])</f>
        <v>15722.86</v>
      </c>
      <c r="G22" s="8" cm="1">
        <f t="array" ref="G22">_xlfn.XLOOKUP(
1,
(tblStoreMonthly[month_year]=TEXT($B$2,"yyyy-mm"))*
(tblStoreMonthly[store_name]=A22),
tblStoreMonthly[target_achievement_pct],
""
)</f>
        <v>103.44</v>
      </c>
      <c r="H22" s="29" cm="1">
        <f t="array" ref="H22">_xlfn.XLOOKUP(
1,
(tblStoreMonthly[month_year]=TEXT($B$2,"yyyy-mm"))*
(tblStoreMonthly[store_name]=A22),
tblStoreMonthly[sales_vs_target],
""
)</f>
        <v>540.57000000000005</v>
      </c>
      <c r="I22" s="5">
        <f t="shared" si="0"/>
        <v>7</v>
      </c>
      <c r="J22" s="30" t="str">
        <f t="shared" si="1"/>
        <v/>
      </c>
    </row>
    <row r="23" spans="1:10" x14ac:dyDescent="0.3">
      <c r="A23" s="17" t="str">
        <v>FreshMart Midlands 19</v>
      </c>
      <c r="B23" s="17" t="str">
        <f>_xlfn.XLOOKUP(A23,tblStoreMonthly[store_name],tblStoreMonthly[store_format])</f>
        <v>Convenience</v>
      </c>
      <c r="C23" s="17" t="str">
        <f>_xlfn.XLOOKUP(A23,tblStoreMonthly[store_name],tblStoreMonthly[region])</f>
        <v>Midlands</v>
      </c>
      <c r="D23" s="6" cm="1">
        <f t="array" ref="D23">_xlfn.XLOOKUP(1,(tblStoreMonthly[month_year]=TEXT($B$2,"yyyy-mm"))*(tblStoreMonthly[store_name]=A23),tblStoreMonthly[net_sales])</f>
        <v>16193.85</v>
      </c>
      <c r="E23" s="7" cm="1">
        <f t="array" ref="E23">_xlfn.XLOOKUP(1,(tblStoreMonthly[month_year]=TEXT($B$2,"yyyy-mm"))*(tblStoreMonthly[store_name]=A23),tblStoreMonthly[mom_sales_growth_pct])</f>
        <v>7.35</v>
      </c>
      <c r="F23" s="28" cm="1">
        <f t="array" ref="F23">_xlfn.XLOOKUP(1,(tblStoreMonthly[month_year]=TEXT($B$2,"yyyy-mm"))*(tblStoreMonthly[store_name]=A23),tblStoreMonthly[sales_target])</f>
        <v>16397.75</v>
      </c>
      <c r="G23" s="8" cm="1">
        <f t="array" ref="G23">_xlfn.XLOOKUP(
1,
(tblStoreMonthly[month_year]=TEXT($B$2,"yyyy-mm"))*
(tblStoreMonthly[store_name]=A23),
tblStoreMonthly[target_achievement_pct],
""
)</f>
        <v>98.76</v>
      </c>
      <c r="H23" s="29" cm="1">
        <f t="array" ref="H23">_xlfn.XLOOKUP(
1,
(tblStoreMonthly[month_year]=TEXT($B$2,"yyyy-mm"))*
(tblStoreMonthly[store_name]=A23),
tblStoreMonthly[sales_vs_target],
""
)</f>
        <v>-203.9</v>
      </c>
      <c r="I23" s="5">
        <f t="shared" si="0"/>
        <v>20</v>
      </c>
      <c r="J23" s="30" t="str">
        <f t="shared" si="1"/>
        <v/>
      </c>
    </row>
    <row r="24" spans="1:10" x14ac:dyDescent="0.3">
      <c r="A24" s="17" t="str">
        <v>FreshMart North West 20</v>
      </c>
      <c r="B24" s="17" t="str">
        <f>_xlfn.XLOOKUP(A24,tblStoreMonthly[store_name],tblStoreMonthly[store_format])</f>
        <v>Convenience</v>
      </c>
      <c r="C24" s="17" t="str">
        <f>_xlfn.XLOOKUP(A24,tblStoreMonthly[store_name],tblStoreMonthly[region])</f>
        <v>North West</v>
      </c>
      <c r="D24" s="6" cm="1">
        <f t="array" ref="D24">_xlfn.XLOOKUP(1,(tblStoreMonthly[month_year]=TEXT($B$2,"yyyy-mm"))*(tblStoreMonthly[store_name]=A24),tblStoreMonthly[net_sales])</f>
        <v>17186.919999999998</v>
      </c>
      <c r="E24" s="7" cm="1">
        <f t="array" ref="E24">_xlfn.XLOOKUP(1,(tblStoreMonthly[month_year]=TEXT($B$2,"yyyy-mm"))*(tblStoreMonthly[store_name]=A24),tblStoreMonthly[mom_sales_growth_pct])</f>
        <v>11.28</v>
      </c>
      <c r="F24" s="28" cm="1">
        <f t="array" ref="F24">_xlfn.XLOOKUP(1,(tblStoreMonthly[month_year]=TEXT($B$2,"yyyy-mm"))*(tblStoreMonthly[store_name]=A24),tblStoreMonthly[sales_target])</f>
        <v>17261.18</v>
      </c>
      <c r="G24" s="8" cm="1">
        <f t="array" ref="G24">_xlfn.XLOOKUP(
1,
(tblStoreMonthly[month_year]=TEXT($B$2,"yyyy-mm"))*
(tblStoreMonthly[store_name]=A24),
tblStoreMonthly[target_achievement_pct],
""
)</f>
        <v>99.57</v>
      </c>
      <c r="H24" s="29" cm="1">
        <f t="array" ref="H24">_xlfn.XLOOKUP(
1,
(tblStoreMonthly[month_year]=TEXT($B$2,"yyyy-mm"))*
(tblStoreMonthly[store_name]=A24),
tblStoreMonthly[sales_vs_target],
""
)</f>
        <v>-74.260000000000005</v>
      </c>
      <c r="I24" s="5">
        <f t="shared" si="0"/>
        <v>17</v>
      </c>
      <c r="J24" s="30" t="str">
        <f t="shared" si="1"/>
        <v/>
      </c>
    </row>
    <row r="25" spans="1:10" x14ac:dyDescent="0.3">
      <c r="A25" s="17" t="str">
        <v>FreshMart London 21</v>
      </c>
      <c r="B25" s="17" t="str">
        <f>_xlfn.XLOOKUP(A25,tblStoreMonthly[store_name],tblStoreMonthly[store_format])</f>
        <v>Convenience</v>
      </c>
      <c r="C25" s="17" t="str">
        <f>_xlfn.XLOOKUP(A25,tblStoreMonthly[store_name],tblStoreMonthly[region])</f>
        <v>London</v>
      </c>
      <c r="D25" s="6" cm="1">
        <f t="array" ref="D25">_xlfn.XLOOKUP(1,(tblStoreMonthly[month_year]=TEXT($B$2,"yyyy-mm"))*(tblStoreMonthly[store_name]=A25),tblStoreMonthly[net_sales])</f>
        <v>15881.55</v>
      </c>
      <c r="E25" s="7" cm="1">
        <f t="array" ref="E25">_xlfn.XLOOKUP(1,(tblStoreMonthly[month_year]=TEXT($B$2,"yyyy-mm"))*(tblStoreMonthly[store_name]=A25),tblStoreMonthly[mom_sales_growth_pct])</f>
        <v>-10.16</v>
      </c>
      <c r="F25" s="28" cm="1">
        <f t="array" ref="F25">_xlfn.XLOOKUP(1,(tblStoreMonthly[month_year]=TEXT($B$2,"yyyy-mm"))*(tblStoreMonthly[store_name]=A25),tblStoreMonthly[sales_target])</f>
        <v>15524.3</v>
      </c>
      <c r="G25" s="8" cm="1">
        <f t="array" ref="G25">_xlfn.XLOOKUP(
1,
(tblStoreMonthly[month_year]=TEXT($B$2,"yyyy-mm"))*
(tblStoreMonthly[store_name]=A25),
tblStoreMonthly[target_achievement_pct],
""
)</f>
        <v>102.3</v>
      </c>
      <c r="H25" s="29" cm="1">
        <f t="array" ref="H25">_xlfn.XLOOKUP(
1,
(tblStoreMonthly[month_year]=TEXT($B$2,"yyyy-mm"))*
(tblStoreMonthly[store_name]=A25),
tblStoreMonthly[sales_vs_target],
""
)</f>
        <v>357.25</v>
      </c>
      <c r="I25" s="5">
        <f t="shared" si="0"/>
        <v>14</v>
      </c>
      <c r="J25" s="30" t="str">
        <f t="shared" si="1"/>
        <v/>
      </c>
    </row>
    <row r="26" spans="1:10" x14ac:dyDescent="0.3">
      <c r="A26" s="17" t="str">
        <v>FreshMart South East 22</v>
      </c>
      <c r="B26" s="17" t="str">
        <f>_xlfn.XLOOKUP(A26,tblStoreMonthly[store_name],tblStoreMonthly[store_format])</f>
        <v>Convenience</v>
      </c>
      <c r="C26" s="17" t="str">
        <f>_xlfn.XLOOKUP(A26,tblStoreMonthly[store_name],tblStoreMonthly[region])</f>
        <v>South East</v>
      </c>
      <c r="D26" s="6" cm="1">
        <f t="array" ref="D26">_xlfn.XLOOKUP(1,(tblStoreMonthly[month_year]=TEXT($B$2,"yyyy-mm"))*(tblStoreMonthly[store_name]=A26),tblStoreMonthly[net_sales])</f>
        <v>16722.310000000001</v>
      </c>
      <c r="E26" s="7" cm="1">
        <f t="array" ref="E26">_xlfn.XLOOKUP(1,(tblStoreMonthly[month_year]=TEXT($B$2,"yyyy-mm"))*(tblStoreMonthly[store_name]=A26),tblStoreMonthly[mom_sales_growth_pct])</f>
        <v>13.67</v>
      </c>
      <c r="F26" s="28" cm="1">
        <f t="array" ref="F26">_xlfn.XLOOKUP(1,(tblStoreMonthly[month_year]=TEXT($B$2,"yyyy-mm"))*(tblStoreMonthly[store_name]=A26),tblStoreMonthly[sales_target])</f>
        <v>16229.9</v>
      </c>
      <c r="G26" s="8" cm="1">
        <f t="array" ref="G26">_xlfn.XLOOKUP(
1,
(tblStoreMonthly[month_year]=TEXT($B$2,"yyyy-mm"))*
(tblStoreMonthly[store_name]=A26),
tblStoreMonthly[target_achievement_pct],
""
)</f>
        <v>103.03</v>
      </c>
      <c r="H26" s="29" cm="1">
        <f t="array" ref="H26">_xlfn.XLOOKUP(
1,
(tblStoreMonthly[month_year]=TEXT($B$2,"yyyy-mm"))*
(tblStoreMonthly[store_name]=A26),
tblStoreMonthly[sales_vs_target],
""
)</f>
        <v>492.41</v>
      </c>
      <c r="I26" s="5">
        <f t="shared" si="0"/>
        <v>11</v>
      </c>
      <c r="J26" s="30" t="str">
        <f t="shared" si="1"/>
        <v/>
      </c>
    </row>
    <row r="27" spans="1:10" x14ac:dyDescent="0.3">
      <c r="A27" s="17" t="str">
        <v>FreshMart South West 23</v>
      </c>
      <c r="B27" s="17" t="str">
        <f>_xlfn.XLOOKUP(A27,tblStoreMonthly[store_name],tblStoreMonthly[store_format])</f>
        <v>Convenience</v>
      </c>
      <c r="C27" s="17" t="str">
        <f>_xlfn.XLOOKUP(A27,tblStoreMonthly[store_name],tblStoreMonthly[region])</f>
        <v>South West</v>
      </c>
      <c r="D27" s="6" cm="1">
        <f t="array" ref="D27">_xlfn.XLOOKUP(1,(tblStoreMonthly[month_year]=TEXT($B$2,"yyyy-mm"))*(tblStoreMonthly[store_name]=A27),tblStoreMonthly[net_sales])</f>
        <v>20179.38</v>
      </c>
      <c r="E27" s="7" cm="1">
        <f t="array" ref="E27">_xlfn.XLOOKUP(1,(tblStoreMonthly[month_year]=TEXT($B$2,"yyyy-mm"))*(tblStoreMonthly[store_name]=A27),tblStoreMonthly[mom_sales_growth_pct])</f>
        <v>13.8</v>
      </c>
      <c r="F27" s="28" cm="1">
        <f t="array" ref="F27">_xlfn.XLOOKUP(1,(tblStoreMonthly[month_year]=TEXT($B$2,"yyyy-mm"))*(tblStoreMonthly[store_name]=A27),tblStoreMonthly[sales_target])</f>
        <v>20907.03</v>
      </c>
      <c r="G27" s="8" cm="1">
        <f t="array" ref="G27">_xlfn.XLOOKUP(
1,
(tblStoreMonthly[month_year]=TEXT($B$2,"yyyy-mm"))*
(tblStoreMonthly[store_name]=A27),
tblStoreMonthly[target_achievement_pct],
""
)</f>
        <v>96.52</v>
      </c>
      <c r="H27" s="29" cm="1">
        <f t="array" ref="H27">_xlfn.XLOOKUP(
1,
(tblStoreMonthly[month_year]=TEXT($B$2,"yyyy-mm"))*
(tblStoreMonthly[store_name]=A27),
tblStoreMonthly[sales_vs_target],
""
)</f>
        <v>-727.65</v>
      </c>
      <c r="I27" s="5">
        <f t="shared" si="0"/>
        <v>23</v>
      </c>
      <c r="J27" s="30" t="str">
        <f t="shared" si="1"/>
        <v/>
      </c>
    </row>
    <row r="28" spans="1:10" x14ac:dyDescent="0.3">
      <c r="A28" s="17" t="str">
        <v>FreshMart Midlands 24</v>
      </c>
      <c r="B28" s="17" t="str">
        <f>_xlfn.XLOOKUP(A28,tblStoreMonthly[store_name],tblStoreMonthly[store_format])</f>
        <v>Convenience</v>
      </c>
      <c r="C28" s="17" t="str">
        <f>_xlfn.XLOOKUP(A28,tblStoreMonthly[store_name],tblStoreMonthly[region])</f>
        <v>Midlands</v>
      </c>
      <c r="D28" s="6" cm="1">
        <f t="array" ref="D28">_xlfn.XLOOKUP(1,(tblStoreMonthly[month_year]=TEXT($B$2,"yyyy-mm"))*(tblStoreMonthly[store_name]=A28),tblStoreMonthly[net_sales])</f>
        <v>32425.55</v>
      </c>
      <c r="E28" s="7" cm="1">
        <f t="array" ref="E28">_xlfn.XLOOKUP(1,(tblStoreMonthly[month_year]=TEXT($B$2,"yyyy-mm"))*(tblStoreMonthly[store_name]=A28),tblStoreMonthly[mom_sales_growth_pct])</f>
        <v>2.95</v>
      </c>
      <c r="F28" s="28" cm="1">
        <f t="array" ref="F28">_xlfn.XLOOKUP(1,(tblStoreMonthly[month_year]=TEXT($B$2,"yyyy-mm"))*(tblStoreMonthly[store_name]=A28),tblStoreMonthly[sales_target])</f>
        <v>30580.84</v>
      </c>
      <c r="G28" s="8" cm="1">
        <f t="array" ref="G28">_xlfn.XLOOKUP(
1,
(tblStoreMonthly[month_year]=TEXT($B$2,"yyyy-mm"))*
(tblStoreMonthly[store_name]=A28),
tblStoreMonthly[target_achievement_pct],
""
)</f>
        <v>106.03</v>
      </c>
      <c r="H28" s="29" cm="1">
        <f t="array" ref="H28">_xlfn.XLOOKUP(
1,
(tblStoreMonthly[month_year]=TEXT($B$2,"yyyy-mm"))*
(tblStoreMonthly[store_name]=A28),
tblStoreMonthly[sales_vs_target],
""
)</f>
        <v>1844.71</v>
      </c>
      <c r="I28" s="5">
        <f t="shared" si="0"/>
        <v>1</v>
      </c>
      <c r="J28" s="30" t="str">
        <f t="shared" si="1"/>
        <v/>
      </c>
    </row>
    <row r="29" spans="1:10" x14ac:dyDescent="0.3">
      <c r="A29" s="17" t="str">
        <v>FreshMart North West 25</v>
      </c>
      <c r="B29" s="17" t="str">
        <f>_xlfn.XLOOKUP(A29,tblStoreMonthly[store_name],tblStoreMonthly[store_format])</f>
        <v>Convenience</v>
      </c>
      <c r="C29" s="17" t="str">
        <f>_xlfn.XLOOKUP(A29,tblStoreMonthly[store_name],tblStoreMonthly[region])</f>
        <v>North West</v>
      </c>
      <c r="D29" s="6" cm="1">
        <f t="array" ref="D29">_xlfn.XLOOKUP(1,(tblStoreMonthly[month_year]=TEXT($B$2,"yyyy-mm"))*(tblStoreMonthly[store_name]=A29),tblStoreMonthly[net_sales])</f>
        <v>19165.48</v>
      </c>
      <c r="E29" s="7" cm="1">
        <f t="array" ref="E29">_xlfn.XLOOKUP(1,(tblStoreMonthly[month_year]=TEXT($B$2,"yyyy-mm"))*(tblStoreMonthly[store_name]=A29),tblStoreMonthly[mom_sales_growth_pct])</f>
        <v>5.03</v>
      </c>
      <c r="F29" s="28" cm="1">
        <f t="array" ref="F29">_xlfn.XLOOKUP(1,(tblStoreMonthly[month_year]=TEXT($B$2,"yyyy-mm"))*(tblStoreMonthly[store_name]=A29),tblStoreMonthly[sales_target])</f>
        <v>18520.71</v>
      </c>
      <c r="G29" s="8" cm="1">
        <f t="array" ref="G29">_xlfn.XLOOKUP(
1,
(tblStoreMonthly[month_year]=TEXT($B$2,"yyyy-mm"))*
(tblStoreMonthly[store_name]=A29),
tblStoreMonthly[target_achievement_pct],
""
)</f>
        <v>103.48</v>
      </c>
      <c r="H29" s="29" cm="1">
        <f t="array" ref="H29">_xlfn.XLOOKUP(
1,
(tblStoreMonthly[month_year]=TEXT($B$2,"yyyy-mm"))*
(tblStoreMonthly[store_name]=A29),
tblStoreMonthly[sales_vs_target],
""
)</f>
        <v>644.77</v>
      </c>
      <c r="I29" s="5">
        <f t="shared" si="0"/>
        <v>4</v>
      </c>
      <c r="J29" s="30" t="str">
        <f t="shared" si="1"/>
        <v/>
      </c>
    </row>
    <row r="30" spans="1:10" ht="15" thickBot="1" x14ac:dyDescent="0.35"/>
    <row r="31" spans="1:10" ht="25.2" customHeight="1" thickBot="1" x14ac:dyDescent="0.45">
      <c r="A31" s="53" t="s">
        <v>135</v>
      </c>
      <c r="B31" s="53"/>
      <c r="D31" s="53" t="s">
        <v>116</v>
      </c>
      <c r="E31" s="53"/>
      <c r="F31" s="53"/>
    </row>
    <row r="32" spans="1:10" ht="26.4" customHeight="1" thickBot="1" x14ac:dyDescent="0.35">
      <c r="A32" s="26" t="s">
        <v>114</v>
      </c>
      <c r="B32" s="26" t="s">
        <v>115</v>
      </c>
      <c r="D32" s="21" t="s">
        <v>107</v>
      </c>
      <c r="E32" s="22" t="s">
        <v>110</v>
      </c>
      <c r="F32" s="22" t="s">
        <v>117</v>
      </c>
    </row>
    <row r="33" spans="1:6" ht="30.6" customHeight="1" thickBot="1" x14ac:dyDescent="0.35">
      <c r="A33" s="27" t="str" cm="1">
        <f t="array" ref="A33:B35">_xlfn.TAKE(
    _xlfn._xlws.SORT(
        _xlfn._xlws.FILTER(
            _xlfn.HSTACK($A$5:$A$24,$G$5:$G$24),
            $A$5:$A$24&lt;&gt;""
        ),
        2,-1
    ),
    3
)</f>
        <v>FreshMart London 06</v>
      </c>
      <c r="B33" s="25">
        <v>106.03</v>
      </c>
      <c r="D33" s="23" t="str" cm="1">
        <f t="array" ref="D33">IFERROR(
    _xlfn.TAKE(
        _xlfn._xlws.SORT(
            _xlfn._xlws.FILTER(
                _xlfn.HSTACK($A$5:$A$24,$E$5:$E$24,$G$5:$G$24),
                $J$5:$J$24="Investigate"
            ),
            3,1
        ),
        3
    ),
    "No stores flagged"
)</f>
        <v>No stores flagged</v>
      </c>
      <c r="E33" s="24"/>
      <c r="F33" s="25"/>
    </row>
    <row r="34" spans="1:6" ht="30.6" customHeight="1" thickBot="1" x14ac:dyDescent="0.35">
      <c r="A34" s="27" t="str">
        <v>FreshMart North West 15</v>
      </c>
      <c r="B34" s="25">
        <v>106.03</v>
      </c>
      <c r="D34" s="23"/>
      <c r="E34" s="24"/>
      <c r="F34" s="25"/>
    </row>
    <row r="35" spans="1:6" ht="26.4" customHeight="1" thickBot="1" x14ac:dyDescent="0.35">
      <c r="A35" s="27" t="str">
        <v>FreshMart South East 07</v>
      </c>
      <c r="B35" s="25">
        <v>103.48</v>
      </c>
      <c r="D35" s="23"/>
      <c r="E35" s="24"/>
      <c r="F35" s="25"/>
    </row>
    <row r="39" spans="1:6" x14ac:dyDescent="0.3">
      <c r="B39" s="4"/>
      <c r="C39" s="4"/>
    </row>
    <row r="40" spans="1:6" x14ac:dyDescent="0.3">
      <c r="B40" s="4"/>
      <c r="C40" s="4"/>
    </row>
    <row r="41" spans="1:6" x14ac:dyDescent="0.3">
      <c r="B41" s="4"/>
      <c r="C41" s="4"/>
    </row>
  </sheetData>
  <mergeCells count="3">
    <mergeCell ref="A1:J1"/>
    <mergeCell ref="A31:B31"/>
    <mergeCell ref="D31:F31"/>
  </mergeCells>
  <conditionalFormatting sqref="E5:E2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G29">
    <cfRule type="cellIs" dxfId="7" priority="2" operator="lessThan">
      <formula>95</formula>
    </cfRule>
    <cfRule type="cellIs" dxfId="6" priority="3" operator="between">
      <formula>95</formula>
      <formula>99.9</formula>
    </cfRule>
    <cfRule type="cellIs" dxfId="5" priority="4" operator="greaterThanOrEqual">
      <formula>100</formula>
    </cfRule>
  </conditionalFormatting>
  <conditionalFormatting sqref="J5:J29">
    <cfRule type="containsText" dxfId="4" priority="1" operator="containsText" text="Investigate">
      <formula>NOT(ISERROR(SEARCH("Investigate",J5)))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58B7-1F2E-4F70-857D-3592922B1D9D}">
  <dimension ref="A1:N13"/>
  <sheetViews>
    <sheetView showGridLines="0" zoomScale="70" zoomScaleNormal="70" workbookViewId="0">
      <selection activeCell="Q8" sqref="Q8"/>
    </sheetView>
  </sheetViews>
  <sheetFormatPr defaultRowHeight="14.4" x14ac:dyDescent="0.3"/>
  <cols>
    <col min="1" max="1" width="26.21875" customWidth="1"/>
    <col min="2" max="2" width="11.6640625" customWidth="1"/>
    <col min="3" max="3" width="12.88671875" customWidth="1"/>
    <col min="4" max="4" width="12.44140625" customWidth="1"/>
    <col min="5" max="7" width="11.88671875" customWidth="1"/>
    <col min="8" max="9" width="12.5546875" customWidth="1"/>
    <col min="10" max="10" width="11.88671875" customWidth="1"/>
    <col min="11" max="11" width="12.88671875" customWidth="1"/>
    <col min="12" max="12" width="13.6640625" customWidth="1"/>
    <col min="13" max="13" width="13.77734375" customWidth="1"/>
    <col min="14" max="14" width="11.88671875" customWidth="1"/>
  </cols>
  <sheetData>
    <row r="1" spans="1:14" ht="36" customHeight="1" x14ac:dyDescent="0.5">
      <c r="A1" s="52" t="s">
        <v>133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4" ht="19.2" customHeight="1" x14ac:dyDescent="0.4">
      <c r="A2" s="60" t="s">
        <v>95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4" spans="1:14" ht="27.6" customHeight="1" thickBot="1" x14ac:dyDescent="0.4">
      <c r="A4" s="35" t="s">
        <v>96</v>
      </c>
      <c r="B4" s="36">
        <v>45658</v>
      </c>
      <c r="C4" s="36">
        <v>45689</v>
      </c>
      <c r="D4" s="36">
        <v>45717</v>
      </c>
      <c r="E4" s="36">
        <v>45748</v>
      </c>
      <c r="F4" s="36">
        <v>45778</v>
      </c>
      <c r="G4" s="36">
        <v>45809</v>
      </c>
      <c r="H4" s="36">
        <v>45839</v>
      </c>
      <c r="I4" s="36">
        <v>45870</v>
      </c>
      <c r="J4" s="36">
        <v>45901</v>
      </c>
      <c r="K4" s="36">
        <v>45931</v>
      </c>
      <c r="L4" s="36">
        <v>45962</v>
      </c>
      <c r="M4" s="36">
        <v>45992</v>
      </c>
      <c r="N4" s="1"/>
    </row>
    <row r="5" spans="1:14" ht="27.6" customHeight="1" thickBot="1" x14ac:dyDescent="0.4">
      <c r="A5" s="35" t="s">
        <v>97</v>
      </c>
      <c r="B5" s="31" cm="1">
        <f t="array" ref="B5">_xlfn.XLOOKUP(TEXT(B$4,"yyyy-mm"),tblCompanyMonthly[[month_year]:[month_year]],tblCompanyMonthly[[net_sales]:[net_sales]],"")</f>
        <v>347199.18</v>
      </c>
      <c r="C5" s="31" cm="1">
        <f t="array" ref="C5">_xlfn.XLOOKUP(TEXT(C$4,"yyyy-mm"),tblCompanyMonthly[[month_year]:[month_year]],tblCompanyMonthly[[net_sales]:[net_sales]],"")</f>
        <v>317297.71000000002</v>
      </c>
      <c r="D5" s="31" cm="1">
        <f t="array" ref="D5">_xlfn.XLOOKUP(TEXT(D$4,"yyyy-mm"),tblCompanyMonthly[[month_year]:[month_year]],tblCompanyMonthly[[net_sales]:[net_sales]],"")</f>
        <v>391277.02</v>
      </c>
      <c r="E5" s="31" cm="1">
        <f t="array" ref="E5">_xlfn.XLOOKUP(TEXT(E$4,"yyyy-mm"),tblCompanyMonthly[[month_year]:[month_year]],tblCompanyMonthly[[net_sales]:[net_sales]],"")</f>
        <v>373482.58</v>
      </c>
      <c r="F5" s="31" cm="1">
        <f t="array" ref="F5">_xlfn.XLOOKUP(TEXT(F$4,"yyyy-mm"),tblCompanyMonthly[[month_year]:[month_year]],tblCompanyMonthly[[net_sales]:[net_sales]],"")</f>
        <v>387910.67</v>
      </c>
      <c r="G5" s="31" cm="1">
        <f t="array" ref="G5">_xlfn.XLOOKUP(TEXT(G$4,"yyyy-mm"),tblCompanyMonthly[[month_year]:[month_year]],tblCompanyMonthly[[net_sales]:[net_sales]],"")</f>
        <v>376894.58</v>
      </c>
      <c r="H5" s="31" cm="1">
        <f t="array" ref="H5">_xlfn.XLOOKUP(TEXT(H$4,"yyyy-mm"),tblCompanyMonthly[[month_year]:[month_year]],tblCompanyMonthly[[net_sales]:[net_sales]],"")</f>
        <v>426209.48</v>
      </c>
      <c r="I5" s="31" cm="1">
        <f t="array" ref="I5">_xlfn.XLOOKUP(TEXT(I$4,"yyyy-mm"),tblCompanyMonthly[[month_year]:[month_year]],tblCompanyMonthly[[net_sales]:[net_sales]],"")</f>
        <v>441528.02</v>
      </c>
      <c r="J5" s="31" cm="1">
        <f t="array" ref="J5">_xlfn.XLOOKUP(TEXT(J$4,"yyyy-mm"),tblCompanyMonthly[[month_year]:[month_year]],tblCompanyMonthly[[net_sales]:[net_sales]],"")</f>
        <v>406552.16</v>
      </c>
      <c r="K5" s="31" cm="1">
        <f t="array" ref="K5">_xlfn.XLOOKUP(TEXT(K$4,"yyyy-mm"),tblCompanyMonthly[[month_year]:[month_year]],tblCompanyMonthly[[net_sales]:[net_sales]],"")</f>
        <v>426232.46</v>
      </c>
      <c r="L5" s="31" cm="1">
        <f t="array" ref="L5">_xlfn.XLOOKUP(TEXT(L$4,"yyyy-mm"),tblCompanyMonthly[[month_year]:[month_year]],tblCompanyMonthly[[net_sales]:[net_sales]],"")</f>
        <v>416804.93</v>
      </c>
      <c r="M5" s="31" cm="1">
        <f t="array" ref="M5">_xlfn.XLOOKUP(TEXT(M$4,"yyyy-mm"),tblCompanyMonthly[[month_year]:[month_year]],tblCompanyMonthly[[net_sales]:[net_sales]],"")</f>
        <v>433925.11</v>
      </c>
    </row>
    <row r="6" spans="1:14" ht="27.6" customHeight="1" thickBot="1" x14ac:dyDescent="0.4">
      <c r="A6" s="35" t="s">
        <v>98</v>
      </c>
      <c r="B6" s="32" cm="1">
        <f t="array" ref="B6">_xlfn.XLOOKUP(TEXT(B$4,"yyyy-mm"),tblCompanyMonthly[[month_year]:[month_year]],tblCompanyMonthly[[sales_mom_pct]:[sales_mom_pct]],"")</f>
        <v>0</v>
      </c>
      <c r="C6" s="32" cm="1">
        <f t="array" ref="C6">_xlfn.XLOOKUP(TEXT(C$4,"yyyy-mm"),tblCompanyMonthly[[month_year]:[month_year]],tblCompanyMonthly[[sales_mom_pct]:[sales_mom_pct]],"")</f>
        <v>-8.61</v>
      </c>
      <c r="D6" s="32" cm="1">
        <f t="array" ref="D6">_xlfn.XLOOKUP(TEXT(D$4,"yyyy-mm"),tblCompanyMonthly[[month_year]:[month_year]],tblCompanyMonthly[[sales_mom_pct]:[sales_mom_pct]],"")</f>
        <v>23.32</v>
      </c>
      <c r="E6" s="32" cm="1">
        <f t="array" ref="E6">_xlfn.XLOOKUP(TEXT(E$4,"yyyy-mm"),tblCompanyMonthly[[month_year]:[month_year]],tblCompanyMonthly[[sales_mom_pct]:[sales_mom_pct]],"")</f>
        <v>-4.55</v>
      </c>
      <c r="F6" s="32" cm="1">
        <f t="array" ref="F6">_xlfn.XLOOKUP(TEXT(F$4,"yyyy-mm"),tblCompanyMonthly[[month_year]:[month_year]],tblCompanyMonthly[[sales_mom_pct]:[sales_mom_pct]],"")</f>
        <v>3.86</v>
      </c>
      <c r="G6" s="32" cm="1">
        <f t="array" ref="G6">_xlfn.XLOOKUP(TEXT(G$4,"yyyy-mm"),tblCompanyMonthly[[month_year]:[month_year]],tblCompanyMonthly[[sales_mom_pct]:[sales_mom_pct]],"")</f>
        <v>-2.84</v>
      </c>
      <c r="H6" s="32" cm="1">
        <f t="array" ref="H6">_xlfn.XLOOKUP(TEXT(H$4,"yyyy-mm"),tblCompanyMonthly[[month_year]:[month_year]],tblCompanyMonthly[[sales_mom_pct]:[sales_mom_pct]],"")</f>
        <v>13.08</v>
      </c>
      <c r="I6" s="32" cm="1">
        <f t="array" ref="I6">_xlfn.XLOOKUP(TEXT(I$4,"yyyy-mm"),tblCompanyMonthly[[month_year]:[month_year]],tblCompanyMonthly[[sales_mom_pct]:[sales_mom_pct]],"")</f>
        <v>3.59</v>
      </c>
      <c r="J6" s="32" cm="1">
        <f t="array" ref="J6">_xlfn.XLOOKUP(TEXT(J$4,"yyyy-mm"),tblCompanyMonthly[[month_year]:[month_year]],tblCompanyMonthly[[sales_mom_pct]:[sales_mom_pct]],"")</f>
        <v>-7.92</v>
      </c>
      <c r="K6" s="32" cm="1">
        <f t="array" ref="K6">_xlfn.XLOOKUP(TEXT(K$4,"yyyy-mm"),tblCompanyMonthly[[month_year]:[month_year]],tblCompanyMonthly[[sales_mom_pct]:[sales_mom_pct]],"")</f>
        <v>4.84</v>
      </c>
      <c r="L6" s="32" cm="1">
        <f t="array" ref="L6">_xlfn.XLOOKUP(TEXT(L$4,"yyyy-mm"),tblCompanyMonthly[[month_year]:[month_year]],tblCompanyMonthly[[sales_mom_pct]:[sales_mom_pct]],"")</f>
        <v>-2.21</v>
      </c>
      <c r="M6" s="32" cm="1">
        <f t="array" ref="M6">_xlfn.XLOOKUP(TEXT(M$4,"yyyy-mm"),tblCompanyMonthly[[month_year]:[month_year]],tblCompanyMonthly[[sales_mom_pct]:[sales_mom_pct]],"")</f>
        <v>4.1100000000000003</v>
      </c>
    </row>
    <row r="7" spans="1:14" ht="27.6" customHeight="1" thickBot="1" x14ac:dyDescent="0.4">
      <c r="A7" s="35" t="s">
        <v>99</v>
      </c>
      <c r="B7" s="31" cm="1">
        <f t="array" ref="B7">_xlfn.XLOOKUP(TEXT(B$4,"yyyy-mm"),tblCompanyMonthly[[month_year]:[month_year]],tblCompanyMonthly[[sales_target]:[sales_target]],"")</f>
        <v>348047.53</v>
      </c>
      <c r="C7" s="31" cm="1">
        <f t="array" ref="C7">_xlfn.XLOOKUP(TEXT(C$4,"yyyy-mm"),tblCompanyMonthly[[month_year]:[month_year]],tblCompanyMonthly[[sales_target]:[sales_target]],"")</f>
        <v>315138.36</v>
      </c>
      <c r="D7" s="31" cm="1">
        <f t="array" ref="D7">_xlfn.XLOOKUP(TEXT(D$4,"yyyy-mm"),tblCompanyMonthly[[month_year]:[month_year]],tblCompanyMonthly[[sales_target]:[sales_target]],"")</f>
        <v>386010.06</v>
      </c>
      <c r="E7" s="31" cm="1">
        <f t="array" ref="E7">_xlfn.XLOOKUP(TEXT(E$4,"yyyy-mm"),tblCompanyMonthly[[month_year]:[month_year]],tblCompanyMonthly[[sales_target]:[sales_target]],"")</f>
        <v>367268.6</v>
      </c>
      <c r="F7" s="31" cm="1">
        <f t="array" ref="F7">_xlfn.XLOOKUP(TEXT(F$4,"yyyy-mm"),tblCompanyMonthly[[month_year]:[month_year]],tblCompanyMonthly[[sales_target]:[sales_target]],"")</f>
        <v>382254.6</v>
      </c>
      <c r="G7" s="31" cm="1">
        <f t="array" ref="G7">_xlfn.XLOOKUP(TEXT(G$4,"yyyy-mm"),tblCompanyMonthly[[month_year]:[month_year]],tblCompanyMonthly[[sales_target]:[sales_target]],"")</f>
        <v>373757.12</v>
      </c>
      <c r="H7" s="31" cm="1">
        <f t="array" ref="H7">_xlfn.XLOOKUP(TEXT(H$4,"yyyy-mm"),tblCompanyMonthly[[month_year]:[month_year]],tblCompanyMonthly[[sales_target]:[sales_target]],"")</f>
        <v>424003.06</v>
      </c>
      <c r="I7" s="31" cm="1">
        <f t="array" ref="I7">_xlfn.XLOOKUP(TEXT(I$4,"yyyy-mm"),tblCompanyMonthly[[month_year]:[month_year]],tblCompanyMonthly[[sales_target]:[sales_target]],"")</f>
        <v>440642.39</v>
      </c>
      <c r="J7" s="31" cm="1">
        <f t="array" ref="J7">_xlfn.XLOOKUP(TEXT(J$4,"yyyy-mm"),tblCompanyMonthly[[month_year]:[month_year]],tblCompanyMonthly[[sales_target]:[sales_target]],"")</f>
        <v>408079.57</v>
      </c>
      <c r="K7" s="31" cm="1">
        <f t="array" ref="K7">_xlfn.XLOOKUP(TEXT(K$4,"yyyy-mm"),tblCompanyMonthly[[month_year]:[month_year]],tblCompanyMonthly[[sales_target]:[sales_target]],"")</f>
        <v>426573.75</v>
      </c>
      <c r="L7" s="31" cm="1">
        <f t="array" ref="L7">_xlfn.XLOOKUP(TEXT(L$4,"yyyy-mm"),tblCompanyMonthly[[month_year]:[month_year]],tblCompanyMonthly[[sales_target]:[sales_target]],"")</f>
        <v>413772.79</v>
      </c>
      <c r="M7" s="31" cm="1">
        <f t="array" ref="M7">_xlfn.XLOOKUP(TEXT(M$4,"yyyy-mm"),tblCompanyMonthly[[month_year]:[month_year]],tblCompanyMonthly[[sales_target]:[sales_target]],"")</f>
        <v>426923.77</v>
      </c>
    </row>
    <row r="8" spans="1:14" ht="27.6" customHeight="1" thickBot="1" x14ac:dyDescent="0.4">
      <c r="A8" s="35" t="s">
        <v>100</v>
      </c>
      <c r="B8" s="32" cm="1">
        <f t="array" ref="B8">_xlfn.XLOOKUP(TEXT(B$4,"yyyy-mm"),tblCompanyMonthly[[month_year]:[month_year]],tblCompanyMonthly[[target_achievement_pct]:[target_achievement_pct]],"")</f>
        <v>99.76</v>
      </c>
      <c r="C8" s="32" cm="1">
        <f t="array" ref="C8">_xlfn.XLOOKUP(TEXT(C$4,"yyyy-mm"),tblCompanyMonthly[[month_year]:[month_year]],tblCompanyMonthly[[target_achievement_pct]:[target_achievement_pct]],"")</f>
        <v>100.69</v>
      </c>
      <c r="D8" s="32" cm="1">
        <f t="array" ref="D8">_xlfn.XLOOKUP(TEXT(D$4,"yyyy-mm"),tblCompanyMonthly[[month_year]:[month_year]],tblCompanyMonthly[[target_achievement_pct]:[target_achievement_pct]],"")</f>
        <v>101.36</v>
      </c>
      <c r="E8" s="32" cm="1">
        <f t="array" ref="E8">_xlfn.XLOOKUP(TEXT(E$4,"yyyy-mm"),tblCompanyMonthly[[month_year]:[month_year]],tblCompanyMonthly[[target_achievement_pct]:[target_achievement_pct]],"")</f>
        <v>101.69</v>
      </c>
      <c r="F8" s="32" cm="1">
        <f t="array" ref="F8">_xlfn.XLOOKUP(TEXT(F$4,"yyyy-mm"),tblCompanyMonthly[[month_year]:[month_year]],tblCompanyMonthly[[target_achievement_pct]:[target_achievement_pct]],"")</f>
        <v>101.48</v>
      </c>
      <c r="G8" s="32" cm="1">
        <f t="array" ref="G8">_xlfn.XLOOKUP(TEXT(G$4,"yyyy-mm"),tblCompanyMonthly[[month_year]:[month_year]],tblCompanyMonthly[[target_achievement_pct]:[target_achievement_pct]],"")</f>
        <v>100.84</v>
      </c>
      <c r="H8" s="32" cm="1">
        <f t="array" ref="H8">_xlfn.XLOOKUP(TEXT(H$4,"yyyy-mm"),tblCompanyMonthly[[month_year]:[month_year]],tblCompanyMonthly[[target_achievement_pct]:[target_achievement_pct]],"")</f>
        <v>100.52</v>
      </c>
      <c r="I8" s="32" cm="1">
        <f t="array" ref="I8">_xlfn.XLOOKUP(TEXT(I$4,"yyyy-mm"),tblCompanyMonthly[[month_year]:[month_year]],tblCompanyMonthly[[target_achievement_pct]:[target_achievement_pct]],"")</f>
        <v>100.2</v>
      </c>
      <c r="J8" s="32" cm="1">
        <f t="array" ref="J8">_xlfn.XLOOKUP(TEXT(J$4,"yyyy-mm"),tblCompanyMonthly[[month_year]:[month_year]],tblCompanyMonthly[[target_achievement_pct]:[target_achievement_pct]],"")</f>
        <v>99.63</v>
      </c>
      <c r="K8" s="32" cm="1">
        <f t="array" ref="K8">_xlfn.XLOOKUP(TEXT(K$4,"yyyy-mm"),tblCompanyMonthly[[month_year]:[month_year]],tblCompanyMonthly[[target_achievement_pct]:[target_achievement_pct]],"")</f>
        <v>99.92</v>
      </c>
      <c r="L8" s="32" cm="1">
        <f t="array" ref="L8">_xlfn.XLOOKUP(TEXT(L$4,"yyyy-mm"),tblCompanyMonthly[[month_year]:[month_year]],tblCompanyMonthly[[target_achievement_pct]:[target_achievement_pct]],"")</f>
        <v>100.73</v>
      </c>
      <c r="M8" s="32" cm="1">
        <f t="array" ref="M8">_xlfn.XLOOKUP(TEXT(M$4,"yyyy-mm"),tblCompanyMonthly[[month_year]:[month_year]],tblCompanyMonthly[[target_achievement_pct]:[target_achievement_pct]],"")</f>
        <v>101.64</v>
      </c>
    </row>
    <row r="9" spans="1:14" ht="27.6" customHeight="1" thickBot="1" x14ac:dyDescent="0.4">
      <c r="A9" s="35" t="s">
        <v>101</v>
      </c>
      <c r="B9" s="62" cm="1">
        <f t="array" ref="B9">_xlfn.XLOOKUP(TEXT(B$4,"yyyy-mm"),tblCompanyMonthly[[month_year]:[month_year]],tblCompanyMonthly[[transactions]:[transactions]],"")</f>
        <v>8565</v>
      </c>
      <c r="C9" s="62" cm="1">
        <f t="array" ref="C9">_xlfn.XLOOKUP(TEXT(C$4,"yyyy-mm"),tblCompanyMonthly[[month_year]:[month_year]],tblCompanyMonthly[[transactions]:[transactions]],"")</f>
        <v>7825</v>
      </c>
      <c r="D9" s="62" cm="1">
        <f t="array" ref="D9">_xlfn.XLOOKUP(TEXT(D$4,"yyyy-mm"),tblCompanyMonthly[[month_year]:[month_year]],tblCompanyMonthly[[transactions]:[transactions]],"")</f>
        <v>9497</v>
      </c>
      <c r="E9" s="62" cm="1">
        <f t="array" ref="E9">_xlfn.XLOOKUP(TEXT(E$4,"yyyy-mm"),tblCompanyMonthly[[month_year]:[month_year]],tblCompanyMonthly[[transactions]:[transactions]],"")</f>
        <v>9230</v>
      </c>
      <c r="F9" s="62" cm="1">
        <f t="array" ref="F9">_xlfn.XLOOKUP(TEXT(F$4,"yyyy-mm"),tblCompanyMonthly[[month_year]:[month_year]],tblCompanyMonthly[[transactions]:[transactions]],"")</f>
        <v>9571</v>
      </c>
      <c r="G9" s="62" cm="1">
        <f t="array" ref="G9">_xlfn.XLOOKUP(TEXT(G$4,"yyyy-mm"),tblCompanyMonthly[[month_year]:[month_year]],tblCompanyMonthly[[transactions]:[transactions]],"")</f>
        <v>9251</v>
      </c>
      <c r="H9" s="62" cm="1">
        <f t="array" ref="H9">_xlfn.XLOOKUP(TEXT(H$4,"yyyy-mm"),tblCompanyMonthly[[month_year]:[month_year]],tblCompanyMonthly[[transactions]:[transactions]],"")</f>
        <v>10268</v>
      </c>
      <c r="I9" s="62" cm="1">
        <f t="array" ref="I9">_xlfn.XLOOKUP(TEXT(I$4,"yyyy-mm"),tblCompanyMonthly[[month_year]:[month_year]],tblCompanyMonthly[[transactions]:[transactions]],"")</f>
        <v>10728</v>
      </c>
      <c r="J9" s="62" cm="1">
        <f t="array" ref="J9">_xlfn.XLOOKUP(TEXT(J$4,"yyyy-mm"),tblCompanyMonthly[[month_year]:[month_year]],tblCompanyMonthly[[transactions]:[transactions]],"")</f>
        <v>9926</v>
      </c>
      <c r="K9" s="62" cm="1">
        <f t="array" ref="K9">_xlfn.XLOOKUP(TEXT(K$4,"yyyy-mm"),tblCompanyMonthly[[month_year]:[month_year]],tblCompanyMonthly[[transactions]:[transactions]],"")</f>
        <v>10444</v>
      </c>
      <c r="L9" s="62" cm="1">
        <f t="array" ref="L9">_xlfn.XLOOKUP(TEXT(L$4,"yyyy-mm"),tblCompanyMonthly[[month_year]:[month_year]],tblCompanyMonthly[[transactions]:[transactions]],"")</f>
        <v>10110</v>
      </c>
      <c r="M9" s="62" cm="1">
        <f t="array" ref="M9">_xlfn.XLOOKUP(TEXT(M$4,"yyyy-mm"),tblCompanyMonthly[[month_year]:[month_year]],tblCompanyMonthly[[transactions]:[transactions]],"")</f>
        <v>10404</v>
      </c>
    </row>
    <row r="10" spans="1:14" ht="27.6" customHeight="1" thickBot="1" x14ac:dyDescent="0.4">
      <c r="A10" s="35" t="s">
        <v>102</v>
      </c>
      <c r="B10" s="32" cm="1">
        <f t="array" ref="B10">_xlfn.XLOOKUP(TEXT(B$4,"yyyy-mm"),tblCompanyMonthly[[month_year]:[month_year]],tblCompanyMonthly[[transactions_mom_pct]:[transactions_mom_pct]],"")</f>
        <v>0</v>
      </c>
      <c r="C10" s="32" cm="1">
        <f t="array" ref="C10">_xlfn.XLOOKUP(TEXT(C$4,"yyyy-mm"),tblCompanyMonthly[[month_year]:[month_year]],tblCompanyMonthly[[transactions_mom_pct]:[transactions_mom_pct]],"")</f>
        <v>-8.64</v>
      </c>
      <c r="D10" s="32" cm="1">
        <f t="array" ref="D10">_xlfn.XLOOKUP(TEXT(D$4,"yyyy-mm"),tblCompanyMonthly[[month_year]:[month_year]],tblCompanyMonthly[[transactions_mom_pct]:[transactions_mom_pct]],"")</f>
        <v>21.37</v>
      </c>
      <c r="E10" s="32" cm="1">
        <f t="array" ref="E10">_xlfn.XLOOKUP(TEXT(E$4,"yyyy-mm"),tblCompanyMonthly[[month_year]:[month_year]],tblCompanyMonthly[[transactions_mom_pct]:[transactions_mom_pct]],"")</f>
        <v>-2.81</v>
      </c>
      <c r="F10" s="32" cm="1">
        <f t="array" ref="F10">_xlfn.XLOOKUP(TEXT(F$4,"yyyy-mm"),tblCompanyMonthly[[month_year]:[month_year]],tblCompanyMonthly[[transactions_mom_pct]:[transactions_mom_pct]],"")</f>
        <v>3.69</v>
      </c>
      <c r="G10" s="32" cm="1">
        <f t="array" ref="G10">_xlfn.XLOOKUP(TEXT(G$4,"yyyy-mm"),tblCompanyMonthly[[month_year]:[month_year]],tblCompanyMonthly[[transactions_mom_pct]:[transactions_mom_pct]],"")</f>
        <v>-3.34</v>
      </c>
      <c r="H10" s="32" cm="1">
        <f t="array" ref="H10">_xlfn.XLOOKUP(TEXT(H$4,"yyyy-mm"),tblCompanyMonthly[[month_year]:[month_year]],tblCompanyMonthly[[transactions_mom_pct]:[transactions_mom_pct]],"")</f>
        <v>10.99</v>
      </c>
      <c r="I10" s="32" cm="1">
        <f t="array" ref="I10">_xlfn.XLOOKUP(TEXT(I$4,"yyyy-mm"),tblCompanyMonthly[[month_year]:[month_year]],tblCompanyMonthly[[transactions_mom_pct]:[transactions_mom_pct]],"")</f>
        <v>4.4800000000000004</v>
      </c>
      <c r="J10" s="32" cm="1">
        <f t="array" ref="J10">_xlfn.XLOOKUP(TEXT(J$4,"yyyy-mm"),tblCompanyMonthly[[month_year]:[month_year]],tblCompanyMonthly[[transactions_mom_pct]:[transactions_mom_pct]],"")</f>
        <v>-7.48</v>
      </c>
      <c r="K10" s="32" cm="1">
        <f t="array" ref="K10">_xlfn.XLOOKUP(TEXT(K$4,"yyyy-mm"),tblCompanyMonthly[[month_year]:[month_year]],tblCompanyMonthly[[transactions_mom_pct]:[transactions_mom_pct]],"")</f>
        <v>5.22</v>
      </c>
      <c r="L10" s="32" cm="1">
        <f t="array" ref="L10">_xlfn.XLOOKUP(TEXT(L$4,"yyyy-mm"),tblCompanyMonthly[[month_year]:[month_year]],tblCompanyMonthly[[transactions_mom_pct]:[transactions_mom_pct]],"")</f>
        <v>-3.2</v>
      </c>
      <c r="M10" s="32" cm="1">
        <f t="array" ref="M10">_xlfn.XLOOKUP(TEXT(M$4,"yyyy-mm"),tblCompanyMonthly[[month_year]:[month_year]],tblCompanyMonthly[[transactions_mom_pct]:[transactions_mom_pct]],"")</f>
        <v>2.91</v>
      </c>
    </row>
    <row r="11" spans="1:14" ht="27.6" customHeight="1" thickBot="1" x14ac:dyDescent="0.4">
      <c r="A11" s="35" t="s">
        <v>103</v>
      </c>
      <c r="B11" s="33" cm="1">
        <f t="array" ref="B11">_xlfn.XLOOKUP(TEXT(B$4,"yyyy-mm"),tblCompanyMonthly[[month_year]:[month_year]],tblCompanyMonthly[[avg_transaction_value]:[avg_transaction_value]],"")</f>
        <v>40.54</v>
      </c>
      <c r="C11" s="33" cm="1">
        <f t="array" ref="C11">_xlfn.XLOOKUP(TEXT(C$4,"yyyy-mm"),tblCompanyMonthly[[month_year]:[month_year]],tblCompanyMonthly[[avg_transaction_value]:[avg_transaction_value]],"")</f>
        <v>40.549999999999997</v>
      </c>
      <c r="D11" s="33" cm="1">
        <f t="array" ref="D11">_xlfn.XLOOKUP(TEXT(D$4,"yyyy-mm"),tblCompanyMonthly[[month_year]:[month_year]],tblCompanyMonthly[[avg_transaction_value]:[avg_transaction_value]],"")</f>
        <v>41.2</v>
      </c>
      <c r="E11" s="33" cm="1">
        <f t="array" ref="E11">_xlfn.XLOOKUP(TEXT(E$4,"yyyy-mm"),tblCompanyMonthly[[month_year]:[month_year]],tblCompanyMonthly[[avg_transaction_value]:[avg_transaction_value]],"")</f>
        <v>40.46</v>
      </c>
      <c r="F11" s="33" cm="1">
        <f t="array" ref="F11">_xlfn.XLOOKUP(TEXT(F$4,"yyyy-mm"),tblCompanyMonthly[[month_year]:[month_year]],tblCompanyMonthly[[avg_transaction_value]:[avg_transaction_value]],"")</f>
        <v>40.53</v>
      </c>
      <c r="G11" s="33" cm="1">
        <f t="array" ref="G11">_xlfn.XLOOKUP(TEXT(G$4,"yyyy-mm"),tblCompanyMonthly[[month_year]:[month_year]],tblCompanyMonthly[[avg_transaction_value]:[avg_transaction_value]],"")</f>
        <v>40.74</v>
      </c>
      <c r="H11" s="33" cm="1">
        <f t="array" ref="H11">_xlfn.XLOOKUP(TEXT(H$4,"yyyy-mm"),tblCompanyMonthly[[month_year]:[month_year]],tblCompanyMonthly[[avg_transaction_value]:[avg_transaction_value]],"")</f>
        <v>41.51</v>
      </c>
      <c r="I11" s="33" cm="1">
        <f t="array" ref="I11">_xlfn.XLOOKUP(TEXT(I$4,"yyyy-mm"),tblCompanyMonthly[[month_year]:[month_year]],tblCompanyMonthly[[avg_transaction_value]:[avg_transaction_value]],"")</f>
        <v>41.16</v>
      </c>
      <c r="J11" s="33" cm="1">
        <f t="array" ref="J11">_xlfn.XLOOKUP(TEXT(J$4,"yyyy-mm"),tblCompanyMonthly[[month_year]:[month_year]],tblCompanyMonthly[[avg_transaction_value]:[avg_transaction_value]],"")</f>
        <v>40.96</v>
      </c>
      <c r="K11" s="33" cm="1">
        <f t="array" ref="K11">_xlfn.XLOOKUP(TEXT(K$4,"yyyy-mm"),tblCompanyMonthly[[month_year]:[month_year]],tblCompanyMonthly[[avg_transaction_value]:[avg_transaction_value]],"")</f>
        <v>40.81</v>
      </c>
      <c r="L11" s="33" cm="1">
        <f t="array" ref="L11">_xlfn.XLOOKUP(TEXT(L$4,"yyyy-mm"),tblCompanyMonthly[[month_year]:[month_year]],tblCompanyMonthly[[avg_transaction_value]:[avg_transaction_value]],"")</f>
        <v>41.23</v>
      </c>
      <c r="M11" s="33" cm="1">
        <f t="array" ref="M11">_xlfn.XLOOKUP(TEXT(M$4,"yyyy-mm"),tblCompanyMonthly[[month_year]:[month_year]],tblCompanyMonthly[[avg_transaction_value]:[avg_transaction_value]],"")</f>
        <v>41.71</v>
      </c>
    </row>
    <row r="12" spans="1:14" ht="27.6" customHeight="1" thickBot="1" x14ac:dyDescent="0.4">
      <c r="A12" s="35" t="s">
        <v>104</v>
      </c>
      <c r="B12" s="34" cm="1">
        <f t="array" ref="B12">_xlfn.XLOOKUP(TEXT(B$4,"yyyy-mm"),tblCompanyMonthly[[month_year]:[month_year]],tblCompanyMonthly[[units_per_transaction]:[units_per_transaction]],"")</f>
        <v>5.13</v>
      </c>
      <c r="C12" s="34" cm="1">
        <f t="array" ref="C12">_xlfn.XLOOKUP(TEXT(C$4,"yyyy-mm"),tblCompanyMonthly[[month_year]:[month_year]],tblCompanyMonthly[[units_per_transaction]:[units_per_transaction]],"")</f>
        <v>5.15</v>
      </c>
      <c r="D12" s="34" cm="1">
        <f t="array" ref="D12">_xlfn.XLOOKUP(TEXT(D$4,"yyyy-mm"),tblCompanyMonthly[[month_year]:[month_year]],tblCompanyMonthly[[units_per_transaction]:[units_per_transaction]],"")</f>
        <v>5.16</v>
      </c>
      <c r="E12" s="34" cm="1">
        <f t="array" ref="E12">_xlfn.XLOOKUP(TEXT(E$4,"yyyy-mm"),tblCompanyMonthly[[month_year]:[month_year]],tblCompanyMonthly[[units_per_transaction]:[units_per_transaction]],"")</f>
        <v>5.0999999999999996</v>
      </c>
      <c r="F12" s="34" cm="1">
        <f t="array" ref="F12">_xlfn.XLOOKUP(TEXT(F$4,"yyyy-mm"),tblCompanyMonthly[[month_year]:[month_year]],tblCompanyMonthly[[units_per_transaction]:[units_per_transaction]],"")</f>
        <v>5.14</v>
      </c>
      <c r="G12" s="34" cm="1">
        <f t="array" ref="G12">_xlfn.XLOOKUP(TEXT(G$4,"yyyy-mm"),tblCompanyMonthly[[month_year]:[month_year]],tblCompanyMonthly[[units_per_transaction]:[units_per_transaction]],"")</f>
        <v>5.15</v>
      </c>
      <c r="H12" s="34" cm="1">
        <f t="array" ref="H12">_xlfn.XLOOKUP(TEXT(H$4,"yyyy-mm"),tblCompanyMonthly[[month_year]:[month_year]],tblCompanyMonthly[[units_per_transaction]:[units_per_transaction]],"")</f>
        <v>5.16</v>
      </c>
      <c r="I12" s="34" cm="1">
        <f t="array" ref="I12">_xlfn.XLOOKUP(TEXT(I$4,"yyyy-mm"),tblCompanyMonthly[[month_year]:[month_year]],tblCompanyMonthly[[units_per_transaction]:[units_per_transaction]],"")</f>
        <v>5.14</v>
      </c>
      <c r="J12" s="34" cm="1">
        <f t="array" ref="J12">_xlfn.XLOOKUP(TEXT(J$4,"yyyy-mm"),tblCompanyMonthly[[month_year]:[month_year]],tblCompanyMonthly[[units_per_transaction]:[units_per_transaction]],"")</f>
        <v>5.14</v>
      </c>
      <c r="K12" s="34" cm="1">
        <f t="array" ref="K12">_xlfn.XLOOKUP(TEXT(K$4,"yyyy-mm"),tblCompanyMonthly[[month_year]:[month_year]],tblCompanyMonthly[[units_per_transaction]:[units_per_transaction]],"")</f>
        <v>5.12</v>
      </c>
      <c r="L12" s="34" cm="1">
        <f t="array" ref="L12">_xlfn.XLOOKUP(TEXT(L$4,"yyyy-mm"),tblCompanyMonthly[[month_year]:[month_year]],tblCompanyMonthly[[units_per_transaction]:[units_per_transaction]],"")</f>
        <v>5.15</v>
      </c>
      <c r="M12" s="34" cm="1">
        <f t="array" ref="M12">_xlfn.XLOOKUP(TEXT(M$4,"yyyy-mm"),tblCompanyMonthly[[month_year]:[month_year]],tblCompanyMonthly[[units_per_transaction]:[units_per_transaction]],"")</f>
        <v>5.17</v>
      </c>
    </row>
    <row r="13" spans="1:14" ht="27.6" customHeight="1" thickBot="1" x14ac:dyDescent="0.4">
      <c r="A13" s="35" t="s">
        <v>105</v>
      </c>
      <c r="B13" s="33" cm="1">
        <f t="array" ref="B13">_xlfn.XLOOKUP(TEXT(B$4,"yyyy-mm"),tblCompanyMonthly[[month_year]:[month_year]],tblCompanyMonthly[[avg_selling_price]:[avg_selling_price]],"")</f>
        <v>7.91</v>
      </c>
      <c r="C13" s="33" cm="1">
        <f t="array" ref="C13">_xlfn.XLOOKUP(TEXT(C$4,"yyyy-mm"),tblCompanyMonthly[[month_year]:[month_year]],tblCompanyMonthly[[avg_selling_price]:[avg_selling_price]],"")</f>
        <v>7.88</v>
      </c>
      <c r="D13" s="33" cm="1">
        <f t="array" ref="D13">_xlfn.XLOOKUP(TEXT(D$4,"yyyy-mm"),tblCompanyMonthly[[month_year]:[month_year]],tblCompanyMonthly[[avg_selling_price]:[avg_selling_price]],"")</f>
        <v>7.99</v>
      </c>
      <c r="E13" s="33" cm="1">
        <f t="array" ref="E13">_xlfn.XLOOKUP(TEXT(E$4,"yyyy-mm"),tblCompanyMonthly[[month_year]:[month_year]],tblCompanyMonthly[[avg_selling_price]:[avg_selling_price]],"")</f>
        <v>7.94</v>
      </c>
      <c r="F13" s="33" cm="1">
        <f t="array" ref="F13">_xlfn.XLOOKUP(TEXT(F$4,"yyyy-mm"),tblCompanyMonthly[[month_year]:[month_year]],tblCompanyMonthly[[avg_selling_price]:[avg_selling_price]],"")</f>
        <v>7.89</v>
      </c>
      <c r="G13" s="33" cm="1">
        <f t="array" ref="G13">_xlfn.XLOOKUP(TEXT(G$4,"yyyy-mm"),tblCompanyMonthly[[month_year]:[month_year]],tblCompanyMonthly[[avg_selling_price]:[avg_selling_price]],"")</f>
        <v>7.91</v>
      </c>
      <c r="H13" s="33" cm="1">
        <f t="array" ref="H13">_xlfn.XLOOKUP(TEXT(H$4,"yyyy-mm"),tblCompanyMonthly[[month_year]:[month_year]],tblCompanyMonthly[[avg_selling_price]:[avg_selling_price]],"")</f>
        <v>8.0399999999999991</v>
      </c>
      <c r="I13" s="33" cm="1">
        <f t="array" ref="I13">_xlfn.XLOOKUP(TEXT(I$4,"yyyy-mm"),tblCompanyMonthly[[month_year]:[month_year]],tblCompanyMonthly[[avg_selling_price]:[avg_selling_price]],"")</f>
        <v>8.01</v>
      </c>
      <c r="J13" s="33" cm="1">
        <f t="array" ref="J13">_xlfn.XLOOKUP(TEXT(J$4,"yyyy-mm"),tblCompanyMonthly[[month_year]:[month_year]],tblCompanyMonthly[[avg_selling_price]:[avg_selling_price]],"")</f>
        <v>7.96</v>
      </c>
      <c r="K13" s="33" cm="1">
        <f t="array" ref="K13">_xlfn.XLOOKUP(TEXT(K$4,"yyyy-mm"),tblCompanyMonthly[[month_year]:[month_year]],tblCompanyMonthly[[avg_selling_price]:[avg_selling_price]],"")</f>
        <v>7.97</v>
      </c>
      <c r="L13" s="33" cm="1">
        <f t="array" ref="L13">_xlfn.XLOOKUP(TEXT(L$4,"yyyy-mm"),tblCompanyMonthly[[month_year]:[month_year]],tblCompanyMonthly[[avg_selling_price]:[avg_selling_price]],"")</f>
        <v>8.01</v>
      </c>
      <c r="M13" s="33" cm="1">
        <f t="array" ref="M13">_xlfn.XLOOKUP(TEXT(M$4,"yyyy-mm"),tblCompanyMonthly[[month_year]:[month_year]],tblCompanyMonthly[[avg_selling_price]:[avg_selling_price]],"")</f>
        <v>8.07</v>
      </c>
    </row>
  </sheetData>
  <mergeCells count="2">
    <mergeCell ref="A1:M1"/>
    <mergeCell ref="A2:M2"/>
  </mergeCells>
  <conditionalFormatting sqref="B6:M6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B8:M8">
    <cfRule type="cellIs" dxfId="1" priority="3" operator="lessThan">
      <formula>100</formula>
    </cfRule>
    <cfRule type="cellIs" dxfId="0" priority="4" operator="greaterThanOrEqual">
      <formula>100</formula>
    </cfRule>
  </conditionalFormatting>
  <conditionalFormatting sqref="B10:M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2471-370F-4DAD-9687-97962C55EEC3}">
  <dimension ref="A1:L291"/>
  <sheetViews>
    <sheetView tabSelected="1" workbookViewId="0">
      <selection activeCell="C17" sqref="C17"/>
    </sheetView>
  </sheetViews>
  <sheetFormatPr defaultRowHeight="14.4" x14ac:dyDescent="0.3"/>
  <cols>
    <col min="1" max="1" width="12.88671875" bestFit="1" customWidth="1"/>
    <col min="2" max="2" width="9.88671875" bestFit="1" customWidth="1"/>
    <col min="3" max="3" width="21.109375" bestFit="1" customWidth="1"/>
    <col min="4" max="4" width="13.77734375" bestFit="1" customWidth="1"/>
    <col min="5" max="5" width="10" bestFit="1" customWidth="1"/>
    <col min="6" max="6" width="11" bestFit="1" customWidth="1"/>
    <col min="7" max="7" width="21.77734375" bestFit="1" customWidth="1"/>
    <col min="8" max="8" width="20.77734375" bestFit="1" customWidth="1"/>
    <col min="9" max="9" width="22.77734375" bestFit="1" customWidth="1"/>
    <col min="10" max="10" width="13.21875" bestFit="1" customWidth="1"/>
    <col min="11" max="11" width="15.88671875" bestFit="1" customWidth="1"/>
    <col min="12" max="12" width="23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16297.83</v>
      </c>
      <c r="J2">
        <v>17205.080000000002</v>
      </c>
      <c r="K2">
        <v>-907.25</v>
      </c>
      <c r="L2">
        <v>94.73</v>
      </c>
    </row>
    <row r="3" spans="1:12" x14ac:dyDescent="0.3">
      <c r="A3" t="s">
        <v>17</v>
      </c>
      <c r="B3" t="s">
        <v>13</v>
      </c>
      <c r="C3" t="s">
        <v>14</v>
      </c>
      <c r="D3" t="s">
        <v>15</v>
      </c>
      <c r="E3" t="s">
        <v>16</v>
      </c>
      <c r="F3">
        <v>14538.35</v>
      </c>
      <c r="G3">
        <v>16297.83</v>
      </c>
      <c r="H3">
        <v>-1759.48</v>
      </c>
      <c r="I3">
        <v>-10.8</v>
      </c>
      <c r="J3">
        <v>15136.94</v>
      </c>
      <c r="K3">
        <v>-598.59</v>
      </c>
      <c r="L3">
        <v>96.05</v>
      </c>
    </row>
    <row r="4" spans="1:12" x14ac:dyDescent="0.3">
      <c r="A4" t="s">
        <v>18</v>
      </c>
      <c r="B4" t="s">
        <v>13</v>
      </c>
      <c r="C4" t="s">
        <v>14</v>
      </c>
      <c r="D4" t="s">
        <v>15</v>
      </c>
      <c r="E4" t="s">
        <v>16</v>
      </c>
      <c r="F4">
        <v>17484.490000000002</v>
      </c>
      <c r="G4">
        <v>14538.35</v>
      </c>
      <c r="H4">
        <v>2946.14</v>
      </c>
      <c r="I4">
        <v>20.260000000000002</v>
      </c>
      <c r="J4">
        <v>17873.8</v>
      </c>
      <c r="K4">
        <v>-389.31</v>
      </c>
      <c r="L4">
        <v>97.82</v>
      </c>
    </row>
    <row r="5" spans="1:12" x14ac:dyDescent="0.3">
      <c r="A5" t="s">
        <v>19</v>
      </c>
      <c r="B5" t="s">
        <v>13</v>
      </c>
      <c r="C5" t="s">
        <v>14</v>
      </c>
      <c r="D5" t="s">
        <v>15</v>
      </c>
      <c r="E5" t="s">
        <v>16</v>
      </c>
      <c r="F5">
        <v>15897.12</v>
      </c>
      <c r="G5">
        <v>17484.490000000002</v>
      </c>
      <c r="H5">
        <v>-1587.37</v>
      </c>
      <c r="I5">
        <v>-9.08</v>
      </c>
      <c r="J5">
        <v>15965.81</v>
      </c>
      <c r="K5">
        <v>-68.69</v>
      </c>
      <c r="L5">
        <v>99.57</v>
      </c>
    </row>
    <row r="6" spans="1:12" x14ac:dyDescent="0.3">
      <c r="A6" t="s">
        <v>20</v>
      </c>
      <c r="B6" t="s">
        <v>13</v>
      </c>
      <c r="C6" t="s">
        <v>14</v>
      </c>
      <c r="D6" t="s">
        <v>15</v>
      </c>
      <c r="E6" t="s">
        <v>16</v>
      </c>
      <c r="F6">
        <v>14183.32</v>
      </c>
      <c r="G6">
        <v>15897.12</v>
      </c>
      <c r="H6">
        <v>-1713.8</v>
      </c>
      <c r="I6">
        <v>-10.78</v>
      </c>
      <c r="J6">
        <v>13864.27</v>
      </c>
      <c r="K6">
        <v>319.05</v>
      </c>
      <c r="L6">
        <v>102.3</v>
      </c>
    </row>
    <row r="7" spans="1:12" x14ac:dyDescent="0.3">
      <c r="A7" t="s">
        <v>21</v>
      </c>
      <c r="B7" t="s">
        <v>13</v>
      </c>
      <c r="C7" t="s">
        <v>14</v>
      </c>
      <c r="D7" t="s">
        <v>15</v>
      </c>
      <c r="E7" t="s">
        <v>16</v>
      </c>
      <c r="F7">
        <v>15870.27</v>
      </c>
      <c r="G7">
        <v>14183.32</v>
      </c>
      <c r="H7">
        <v>1686.95</v>
      </c>
      <c r="I7">
        <v>11.89</v>
      </c>
      <c r="J7">
        <v>15402.95</v>
      </c>
      <c r="K7">
        <v>467.32</v>
      </c>
      <c r="L7">
        <v>103.03</v>
      </c>
    </row>
    <row r="8" spans="1:12" x14ac:dyDescent="0.3">
      <c r="A8" t="s">
        <v>22</v>
      </c>
      <c r="B8" t="s">
        <v>13</v>
      </c>
      <c r="C8" t="s">
        <v>14</v>
      </c>
      <c r="D8" t="s">
        <v>15</v>
      </c>
      <c r="E8" t="s">
        <v>16</v>
      </c>
      <c r="F8">
        <v>16859.52</v>
      </c>
      <c r="G8">
        <v>15870.27</v>
      </c>
      <c r="H8">
        <v>989.25</v>
      </c>
      <c r="I8">
        <v>6.23</v>
      </c>
      <c r="J8">
        <v>17467.46</v>
      </c>
      <c r="K8">
        <v>-607.94000000000005</v>
      </c>
      <c r="L8">
        <v>96.52</v>
      </c>
    </row>
    <row r="9" spans="1:12" x14ac:dyDescent="0.3">
      <c r="A9" t="s">
        <v>23</v>
      </c>
      <c r="B9" t="s">
        <v>13</v>
      </c>
      <c r="C9" t="s">
        <v>14</v>
      </c>
      <c r="D9" t="s">
        <v>15</v>
      </c>
      <c r="E9" t="s">
        <v>16</v>
      </c>
      <c r="F9">
        <v>16910.189999999999</v>
      </c>
      <c r="G9">
        <v>16859.52</v>
      </c>
      <c r="H9">
        <v>50.67</v>
      </c>
      <c r="I9">
        <v>0.3</v>
      </c>
      <c r="J9">
        <v>15948.16</v>
      </c>
      <c r="K9">
        <v>962.03</v>
      </c>
      <c r="L9">
        <v>106.03</v>
      </c>
    </row>
    <row r="10" spans="1:12" x14ac:dyDescent="0.3">
      <c r="A10" t="s">
        <v>24</v>
      </c>
      <c r="B10" t="s">
        <v>13</v>
      </c>
      <c r="C10" t="s">
        <v>14</v>
      </c>
      <c r="D10" t="s">
        <v>15</v>
      </c>
      <c r="E10" t="s">
        <v>16</v>
      </c>
      <c r="F10">
        <v>13585.1</v>
      </c>
      <c r="G10">
        <v>16910.189999999999</v>
      </c>
      <c r="H10">
        <v>-3325.09</v>
      </c>
      <c r="I10">
        <v>-19.66</v>
      </c>
      <c r="J10">
        <v>13128.07</v>
      </c>
      <c r="K10">
        <v>457.03</v>
      </c>
      <c r="L10">
        <v>103.48</v>
      </c>
    </row>
    <row r="11" spans="1:12" x14ac:dyDescent="0.3">
      <c r="A11" t="s">
        <v>25</v>
      </c>
      <c r="B11" t="s">
        <v>13</v>
      </c>
      <c r="C11" t="s">
        <v>14</v>
      </c>
      <c r="D11" t="s">
        <v>15</v>
      </c>
      <c r="E11" t="s">
        <v>16</v>
      </c>
      <c r="F11">
        <v>16082.32</v>
      </c>
      <c r="G11">
        <v>13585.1</v>
      </c>
      <c r="H11">
        <v>2497.2199999999998</v>
      </c>
      <c r="I11">
        <v>18.38</v>
      </c>
      <c r="J11">
        <v>16977.580000000002</v>
      </c>
      <c r="K11">
        <v>-895.26</v>
      </c>
      <c r="L11">
        <v>94.73</v>
      </c>
    </row>
    <row r="12" spans="1:12" x14ac:dyDescent="0.3">
      <c r="A12" t="s">
        <v>26</v>
      </c>
      <c r="B12" t="s">
        <v>13</v>
      </c>
      <c r="C12" t="s">
        <v>14</v>
      </c>
      <c r="D12" t="s">
        <v>15</v>
      </c>
      <c r="E12" t="s">
        <v>16</v>
      </c>
      <c r="F12">
        <v>15105.34</v>
      </c>
      <c r="G12">
        <v>16082.32</v>
      </c>
      <c r="H12">
        <v>-976.98</v>
      </c>
      <c r="I12">
        <v>-6.07</v>
      </c>
      <c r="J12">
        <v>15727.28</v>
      </c>
      <c r="K12">
        <v>-621.94000000000005</v>
      </c>
      <c r="L12">
        <v>96.05</v>
      </c>
    </row>
    <row r="13" spans="1:12" x14ac:dyDescent="0.3">
      <c r="A13" t="s">
        <v>27</v>
      </c>
      <c r="B13" t="s">
        <v>13</v>
      </c>
      <c r="C13" t="s">
        <v>14</v>
      </c>
      <c r="D13" t="s">
        <v>15</v>
      </c>
      <c r="E13" t="s">
        <v>16</v>
      </c>
      <c r="F13">
        <v>15619.51</v>
      </c>
      <c r="G13">
        <v>15105.34</v>
      </c>
      <c r="H13">
        <v>514.16999999999996</v>
      </c>
      <c r="I13">
        <v>3.4</v>
      </c>
      <c r="J13">
        <v>15967.3</v>
      </c>
      <c r="K13">
        <v>-347.79</v>
      </c>
      <c r="L13">
        <v>97.82</v>
      </c>
    </row>
    <row r="14" spans="1:12" x14ac:dyDescent="0.3">
      <c r="A14" t="s">
        <v>12</v>
      </c>
      <c r="B14" t="s">
        <v>28</v>
      </c>
      <c r="C14" t="s">
        <v>29</v>
      </c>
      <c r="D14" t="s">
        <v>15</v>
      </c>
      <c r="E14" t="s">
        <v>30</v>
      </c>
      <c r="F14">
        <v>16171.93</v>
      </c>
      <c r="J14">
        <v>16837.78</v>
      </c>
      <c r="K14">
        <v>-665.85</v>
      </c>
      <c r="L14">
        <v>96.05</v>
      </c>
    </row>
    <row r="15" spans="1:12" x14ac:dyDescent="0.3">
      <c r="A15" t="s">
        <v>17</v>
      </c>
      <c r="B15" t="s">
        <v>28</v>
      </c>
      <c r="C15" t="s">
        <v>29</v>
      </c>
      <c r="D15" t="s">
        <v>15</v>
      </c>
      <c r="E15" t="s">
        <v>30</v>
      </c>
      <c r="F15">
        <v>15443.34</v>
      </c>
      <c r="G15">
        <v>16171.93</v>
      </c>
      <c r="H15">
        <v>-728.59</v>
      </c>
      <c r="I15">
        <v>-4.51</v>
      </c>
      <c r="J15">
        <v>15787.2</v>
      </c>
      <c r="K15">
        <v>-343.86</v>
      </c>
      <c r="L15">
        <v>97.82</v>
      </c>
    </row>
    <row r="16" spans="1:12" x14ac:dyDescent="0.3">
      <c r="A16" t="s">
        <v>18</v>
      </c>
      <c r="B16" t="s">
        <v>28</v>
      </c>
      <c r="C16" t="s">
        <v>29</v>
      </c>
      <c r="D16" t="s">
        <v>15</v>
      </c>
      <c r="E16" t="s">
        <v>30</v>
      </c>
      <c r="F16">
        <v>16657.12</v>
      </c>
      <c r="G16">
        <v>15443.34</v>
      </c>
      <c r="H16">
        <v>1213.78</v>
      </c>
      <c r="I16">
        <v>7.86</v>
      </c>
      <c r="J16">
        <v>16729.09</v>
      </c>
      <c r="K16">
        <v>-71.97</v>
      </c>
      <c r="L16">
        <v>99.57</v>
      </c>
    </row>
    <row r="17" spans="1:12" x14ac:dyDescent="0.3">
      <c r="A17" t="s">
        <v>19</v>
      </c>
      <c r="B17" t="s">
        <v>28</v>
      </c>
      <c r="C17" t="s">
        <v>29</v>
      </c>
      <c r="D17" t="s">
        <v>15</v>
      </c>
      <c r="E17" t="s">
        <v>30</v>
      </c>
      <c r="F17">
        <v>16459.11</v>
      </c>
      <c r="G17">
        <v>16657.12</v>
      </c>
      <c r="H17">
        <v>-198.01</v>
      </c>
      <c r="I17">
        <v>-1.19</v>
      </c>
      <c r="J17">
        <v>16088.87</v>
      </c>
      <c r="K17">
        <v>370.24</v>
      </c>
      <c r="L17">
        <v>102.3</v>
      </c>
    </row>
    <row r="18" spans="1:12" x14ac:dyDescent="0.3">
      <c r="A18" t="s">
        <v>20</v>
      </c>
      <c r="B18" t="s">
        <v>28</v>
      </c>
      <c r="C18" t="s">
        <v>29</v>
      </c>
      <c r="D18" t="s">
        <v>15</v>
      </c>
      <c r="E18" t="s">
        <v>30</v>
      </c>
      <c r="F18">
        <v>16552.53</v>
      </c>
      <c r="G18">
        <v>16459.11</v>
      </c>
      <c r="H18">
        <v>93.42</v>
      </c>
      <c r="I18">
        <v>0.56999999999999995</v>
      </c>
      <c r="J18">
        <v>16065.12</v>
      </c>
      <c r="K18">
        <v>487.41</v>
      </c>
      <c r="L18">
        <v>103.03</v>
      </c>
    </row>
    <row r="19" spans="1:12" x14ac:dyDescent="0.3">
      <c r="A19" t="s">
        <v>21</v>
      </c>
      <c r="B19" t="s">
        <v>28</v>
      </c>
      <c r="C19" t="s">
        <v>29</v>
      </c>
      <c r="D19" t="s">
        <v>15</v>
      </c>
      <c r="E19" t="s">
        <v>30</v>
      </c>
      <c r="F19">
        <v>15541.7</v>
      </c>
      <c r="G19">
        <v>16552.53</v>
      </c>
      <c r="H19">
        <v>-1010.83</v>
      </c>
      <c r="I19">
        <v>-6.11</v>
      </c>
      <c r="J19">
        <v>16102.12</v>
      </c>
      <c r="K19">
        <v>-560.41999999999996</v>
      </c>
      <c r="L19">
        <v>96.52</v>
      </c>
    </row>
    <row r="20" spans="1:12" x14ac:dyDescent="0.3">
      <c r="A20" t="s">
        <v>22</v>
      </c>
      <c r="B20" t="s">
        <v>28</v>
      </c>
      <c r="C20" t="s">
        <v>29</v>
      </c>
      <c r="D20" t="s">
        <v>15</v>
      </c>
      <c r="E20" t="s">
        <v>30</v>
      </c>
      <c r="F20">
        <v>15657.13</v>
      </c>
      <c r="G20">
        <v>15541.7</v>
      </c>
      <c r="H20">
        <v>115.43</v>
      </c>
      <c r="I20">
        <v>0.74</v>
      </c>
      <c r="J20">
        <v>14766.38</v>
      </c>
      <c r="K20">
        <v>890.75</v>
      </c>
      <c r="L20">
        <v>106.03</v>
      </c>
    </row>
    <row r="21" spans="1:12" x14ac:dyDescent="0.3">
      <c r="A21" t="s">
        <v>23</v>
      </c>
      <c r="B21" t="s">
        <v>28</v>
      </c>
      <c r="C21" t="s">
        <v>29</v>
      </c>
      <c r="D21" t="s">
        <v>15</v>
      </c>
      <c r="E21" t="s">
        <v>30</v>
      </c>
      <c r="F21">
        <v>16928.169999999998</v>
      </c>
      <c r="G21">
        <v>15657.13</v>
      </c>
      <c r="H21">
        <v>1271.04</v>
      </c>
      <c r="I21">
        <v>8.1199999999999992</v>
      </c>
      <c r="J21">
        <v>16358.67</v>
      </c>
      <c r="K21">
        <v>569.5</v>
      </c>
      <c r="L21">
        <v>103.48</v>
      </c>
    </row>
    <row r="22" spans="1:12" x14ac:dyDescent="0.3">
      <c r="A22" t="s">
        <v>24</v>
      </c>
      <c r="B22" t="s">
        <v>28</v>
      </c>
      <c r="C22" t="s">
        <v>29</v>
      </c>
      <c r="D22" t="s">
        <v>15</v>
      </c>
      <c r="E22" t="s">
        <v>30</v>
      </c>
      <c r="F22">
        <v>16809.68</v>
      </c>
      <c r="G22">
        <v>16928.169999999998</v>
      </c>
      <c r="H22">
        <v>-118.49</v>
      </c>
      <c r="I22">
        <v>-0.7</v>
      </c>
      <c r="J22">
        <v>16307.96</v>
      </c>
      <c r="K22">
        <v>501.72</v>
      </c>
      <c r="L22">
        <v>103.08</v>
      </c>
    </row>
    <row r="23" spans="1:12" x14ac:dyDescent="0.3">
      <c r="A23" t="s">
        <v>25</v>
      </c>
      <c r="B23" t="s">
        <v>28</v>
      </c>
      <c r="C23" t="s">
        <v>29</v>
      </c>
      <c r="D23" t="s">
        <v>15</v>
      </c>
      <c r="E23" t="s">
        <v>30</v>
      </c>
      <c r="F23">
        <v>16297.79</v>
      </c>
      <c r="G23">
        <v>16809.68</v>
      </c>
      <c r="H23">
        <v>-511.89</v>
      </c>
      <c r="I23">
        <v>-3.05</v>
      </c>
      <c r="J23">
        <v>16968.830000000002</v>
      </c>
      <c r="K23">
        <v>-671.04</v>
      </c>
      <c r="L23">
        <v>96.05</v>
      </c>
    </row>
    <row r="24" spans="1:12" x14ac:dyDescent="0.3">
      <c r="A24" t="s">
        <v>26</v>
      </c>
      <c r="B24" t="s">
        <v>28</v>
      </c>
      <c r="C24" t="s">
        <v>29</v>
      </c>
      <c r="D24" t="s">
        <v>15</v>
      </c>
      <c r="E24" t="s">
        <v>30</v>
      </c>
      <c r="F24">
        <v>15147.17</v>
      </c>
      <c r="G24">
        <v>16297.79</v>
      </c>
      <c r="H24">
        <v>-1150.6199999999999</v>
      </c>
      <c r="I24">
        <v>-7.06</v>
      </c>
      <c r="J24">
        <v>15484.44</v>
      </c>
      <c r="K24">
        <v>-337.27</v>
      </c>
      <c r="L24">
        <v>97.82</v>
      </c>
    </row>
    <row r="25" spans="1:12" x14ac:dyDescent="0.3">
      <c r="A25" t="s">
        <v>27</v>
      </c>
      <c r="B25" t="s">
        <v>28</v>
      </c>
      <c r="C25" t="s">
        <v>29</v>
      </c>
      <c r="D25" t="s">
        <v>15</v>
      </c>
      <c r="E25" t="s">
        <v>30</v>
      </c>
      <c r="F25">
        <v>16483.11</v>
      </c>
      <c r="G25">
        <v>15147.17</v>
      </c>
      <c r="H25">
        <v>1335.94</v>
      </c>
      <c r="I25">
        <v>8.82</v>
      </c>
      <c r="J25">
        <v>16554.330000000002</v>
      </c>
      <c r="K25">
        <v>-71.22</v>
      </c>
      <c r="L25">
        <v>99.57</v>
      </c>
    </row>
    <row r="26" spans="1:12" x14ac:dyDescent="0.3">
      <c r="A26" t="s">
        <v>12</v>
      </c>
      <c r="B26" t="s">
        <v>31</v>
      </c>
      <c r="C26" t="s">
        <v>32</v>
      </c>
      <c r="D26" t="s">
        <v>15</v>
      </c>
      <c r="E26" t="s">
        <v>33</v>
      </c>
      <c r="F26">
        <v>16338.8</v>
      </c>
      <c r="J26">
        <v>16702.599999999999</v>
      </c>
      <c r="K26">
        <v>-363.8</v>
      </c>
      <c r="L26">
        <v>97.82</v>
      </c>
    </row>
    <row r="27" spans="1:12" x14ac:dyDescent="0.3">
      <c r="A27" t="s">
        <v>17</v>
      </c>
      <c r="B27" t="s">
        <v>31</v>
      </c>
      <c r="C27" t="s">
        <v>32</v>
      </c>
      <c r="D27" t="s">
        <v>15</v>
      </c>
      <c r="E27" t="s">
        <v>33</v>
      </c>
      <c r="F27">
        <v>14270.44</v>
      </c>
      <c r="G27">
        <v>16338.8</v>
      </c>
      <c r="H27">
        <v>-2068.36</v>
      </c>
      <c r="I27">
        <v>-12.66</v>
      </c>
      <c r="J27">
        <v>14332.1</v>
      </c>
      <c r="K27">
        <v>-61.66</v>
      </c>
      <c r="L27">
        <v>99.57</v>
      </c>
    </row>
    <row r="28" spans="1:12" x14ac:dyDescent="0.3">
      <c r="A28" t="s">
        <v>18</v>
      </c>
      <c r="B28" t="s">
        <v>31</v>
      </c>
      <c r="C28" t="s">
        <v>32</v>
      </c>
      <c r="D28" t="s">
        <v>15</v>
      </c>
      <c r="E28" t="s">
        <v>33</v>
      </c>
      <c r="F28">
        <v>15320.75</v>
      </c>
      <c r="G28">
        <v>14270.44</v>
      </c>
      <c r="H28">
        <v>1050.31</v>
      </c>
      <c r="I28">
        <v>7.36</v>
      </c>
      <c r="J28">
        <v>14976.11</v>
      </c>
      <c r="K28">
        <v>344.64</v>
      </c>
      <c r="L28">
        <v>102.3</v>
      </c>
    </row>
    <row r="29" spans="1:12" x14ac:dyDescent="0.3">
      <c r="A29" t="s">
        <v>19</v>
      </c>
      <c r="B29" t="s">
        <v>31</v>
      </c>
      <c r="C29" t="s">
        <v>32</v>
      </c>
      <c r="D29" t="s">
        <v>15</v>
      </c>
      <c r="E29" t="s">
        <v>33</v>
      </c>
      <c r="F29">
        <v>13439.85</v>
      </c>
      <c r="G29">
        <v>15320.75</v>
      </c>
      <c r="H29">
        <v>-1880.9</v>
      </c>
      <c r="I29">
        <v>-12.28</v>
      </c>
      <c r="J29">
        <v>13044.1</v>
      </c>
      <c r="K29">
        <v>395.75</v>
      </c>
      <c r="L29">
        <v>103.03</v>
      </c>
    </row>
    <row r="30" spans="1:12" x14ac:dyDescent="0.3">
      <c r="A30" t="s">
        <v>20</v>
      </c>
      <c r="B30" t="s">
        <v>31</v>
      </c>
      <c r="C30" t="s">
        <v>32</v>
      </c>
      <c r="D30" t="s">
        <v>15</v>
      </c>
      <c r="E30" t="s">
        <v>33</v>
      </c>
      <c r="F30">
        <v>16651.96</v>
      </c>
      <c r="G30">
        <v>13439.85</v>
      </c>
      <c r="H30">
        <v>3212.11</v>
      </c>
      <c r="I30">
        <v>23.9</v>
      </c>
      <c r="J30">
        <v>17252.419999999998</v>
      </c>
      <c r="K30">
        <v>-600.46</v>
      </c>
      <c r="L30">
        <v>96.52</v>
      </c>
    </row>
    <row r="31" spans="1:12" x14ac:dyDescent="0.3">
      <c r="A31" t="s">
        <v>21</v>
      </c>
      <c r="B31" t="s">
        <v>31</v>
      </c>
      <c r="C31" t="s">
        <v>32</v>
      </c>
      <c r="D31" t="s">
        <v>15</v>
      </c>
      <c r="E31" t="s">
        <v>33</v>
      </c>
      <c r="F31">
        <v>15253.39</v>
      </c>
      <c r="G31">
        <v>16651.96</v>
      </c>
      <c r="H31">
        <v>-1398.57</v>
      </c>
      <c r="I31">
        <v>-8.4</v>
      </c>
      <c r="J31">
        <v>14385.61</v>
      </c>
      <c r="K31">
        <v>867.78</v>
      </c>
      <c r="L31">
        <v>106.03</v>
      </c>
    </row>
    <row r="32" spans="1:12" x14ac:dyDescent="0.3">
      <c r="A32" t="s">
        <v>22</v>
      </c>
      <c r="B32" t="s">
        <v>31</v>
      </c>
      <c r="C32" t="s">
        <v>32</v>
      </c>
      <c r="D32" t="s">
        <v>15</v>
      </c>
      <c r="E32" t="s">
        <v>33</v>
      </c>
      <c r="F32">
        <v>15277.25</v>
      </c>
      <c r="G32">
        <v>15253.39</v>
      </c>
      <c r="H32">
        <v>23.86</v>
      </c>
      <c r="I32">
        <v>0.16</v>
      </c>
      <c r="J32">
        <v>14763.29</v>
      </c>
      <c r="K32">
        <v>513.96</v>
      </c>
      <c r="L32">
        <v>103.48</v>
      </c>
    </row>
    <row r="33" spans="1:12" x14ac:dyDescent="0.3">
      <c r="A33" t="s">
        <v>23</v>
      </c>
      <c r="B33" t="s">
        <v>31</v>
      </c>
      <c r="C33" t="s">
        <v>32</v>
      </c>
      <c r="D33" t="s">
        <v>15</v>
      </c>
      <c r="E33" t="s">
        <v>33</v>
      </c>
      <c r="F33">
        <v>16769.810000000001</v>
      </c>
      <c r="G33">
        <v>15277.25</v>
      </c>
      <c r="H33">
        <v>1492.56</v>
      </c>
      <c r="I33">
        <v>9.77</v>
      </c>
      <c r="J33">
        <v>16269.28</v>
      </c>
      <c r="K33">
        <v>500.53</v>
      </c>
      <c r="L33">
        <v>103.08</v>
      </c>
    </row>
    <row r="34" spans="1:12" x14ac:dyDescent="0.3">
      <c r="A34" t="s">
        <v>24</v>
      </c>
      <c r="B34" t="s">
        <v>31</v>
      </c>
      <c r="C34" t="s">
        <v>32</v>
      </c>
      <c r="D34" t="s">
        <v>15</v>
      </c>
      <c r="E34" t="s">
        <v>33</v>
      </c>
      <c r="F34">
        <v>15251.52</v>
      </c>
      <c r="G34">
        <v>16769.810000000001</v>
      </c>
      <c r="H34">
        <v>-1518.29</v>
      </c>
      <c r="I34">
        <v>-9.0500000000000007</v>
      </c>
      <c r="J34">
        <v>14744.58</v>
      </c>
      <c r="K34">
        <v>506.94</v>
      </c>
      <c r="L34">
        <v>103.44</v>
      </c>
    </row>
    <row r="35" spans="1:12" x14ac:dyDescent="0.3">
      <c r="A35" t="s">
        <v>25</v>
      </c>
      <c r="B35" t="s">
        <v>31</v>
      </c>
      <c r="C35" t="s">
        <v>32</v>
      </c>
      <c r="D35" t="s">
        <v>15</v>
      </c>
      <c r="E35" t="s">
        <v>33</v>
      </c>
      <c r="F35">
        <v>15939.26</v>
      </c>
      <c r="G35">
        <v>15251.52</v>
      </c>
      <c r="H35">
        <v>687.74</v>
      </c>
      <c r="I35">
        <v>4.51</v>
      </c>
      <c r="J35">
        <v>16294.17</v>
      </c>
      <c r="K35">
        <v>-354.91</v>
      </c>
      <c r="L35">
        <v>97.82</v>
      </c>
    </row>
    <row r="36" spans="1:12" x14ac:dyDescent="0.3">
      <c r="A36" t="s">
        <v>26</v>
      </c>
      <c r="B36" t="s">
        <v>31</v>
      </c>
      <c r="C36" t="s">
        <v>32</v>
      </c>
      <c r="D36" t="s">
        <v>15</v>
      </c>
      <c r="E36" t="s">
        <v>33</v>
      </c>
      <c r="F36">
        <v>16750.599999999999</v>
      </c>
      <c r="G36">
        <v>15939.26</v>
      </c>
      <c r="H36">
        <v>811.34</v>
      </c>
      <c r="I36">
        <v>5.09</v>
      </c>
      <c r="J36">
        <v>16822.98</v>
      </c>
      <c r="K36">
        <v>-72.38</v>
      </c>
      <c r="L36">
        <v>99.57</v>
      </c>
    </row>
    <row r="37" spans="1:12" x14ac:dyDescent="0.3">
      <c r="A37" t="s">
        <v>27</v>
      </c>
      <c r="B37" t="s">
        <v>31</v>
      </c>
      <c r="C37" t="s">
        <v>32</v>
      </c>
      <c r="D37" t="s">
        <v>15</v>
      </c>
      <c r="E37" t="s">
        <v>33</v>
      </c>
      <c r="F37">
        <v>16656.28</v>
      </c>
      <c r="G37">
        <v>16750.599999999999</v>
      </c>
      <c r="H37">
        <v>-94.32</v>
      </c>
      <c r="I37">
        <v>-0.56000000000000005</v>
      </c>
      <c r="J37">
        <v>16281.6</v>
      </c>
      <c r="K37">
        <v>374.68</v>
      </c>
      <c r="L37">
        <v>102.3</v>
      </c>
    </row>
    <row r="38" spans="1:12" x14ac:dyDescent="0.3">
      <c r="A38" t="s">
        <v>12</v>
      </c>
      <c r="B38" t="s">
        <v>34</v>
      </c>
      <c r="C38" t="s">
        <v>35</v>
      </c>
      <c r="D38" t="s">
        <v>15</v>
      </c>
      <c r="E38" t="s">
        <v>36</v>
      </c>
      <c r="F38">
        <v>16209.96</v>
      </c>
      <c r="J38">
        <v>16280</v>
      </c>
      <c r="K38">
        <v>-70.040000000000006</v>
      </c>
      <c r="L38">
        <v>99.57</v>
      </c>
    </row>
    <row r="39" spans="1:12" x14ac:dyDescent="0.3">
      <c r="A39" t="s">
        <v>17</v>
      </c>
      <c r="B39" t="s">
        <v>34</v>
      </c>
      <c r="C39" t="s">
        <v>35</v>
      </c>
      <c r="D39" t="s">
        <v>15</v>
      </c>
      <c r="E39" t="s">
        <v>36</v>
      </c>
      <c r="F39">
        <v>13923.1</v>
      </c>
      <c r="G39">
        <v>16209.96</v>
      </c>
      <c r="H39">
        <v>-2286.86</v>
      </c>
      <c r="I39">
        <v>-14.11</v>
      </c>
      <c r="J39">
        <v>13609.9</v>
      </c>
      <c r="K39">
        <v>313.2</v>
      </c>
      <c r="L39">
        <v>102.3</v>
      </c>
    </row>
    <row r="40" spans="1:12" x14ac:dyDescent="0.3">
      <c r="A40" t="s">
        <v>18</v>
      </c>
      <c r="B40" t="s">
        <v>34</v>
      </c>
      <c r="C40" t="s">
        <v>35</v>
      </c>
      <c r="D40" t="s">
        <v>15</v>
      </c>
      <c r="E40" t="s">
        <v>36</v>
      </c>
      <c r="F40">
        <v>16161.82</v>
      </c>
      <c r="G40">
        <v>13923.1</v>
      </c>
      <c r="H40">
        <v>2238.7199999999998</v>
      </c>
      <c r="I40">
        <v>16.079999999999998</v>
      </c>
      <c r="J40">
        <v>15685.92</v>
      </c>
      <c r="K40">
        <v>475.9</v>
      </c>
      <c r="L40">
        <v>103.03</v>
      </c>
    </row>
    <row r="41" spans="1:12" x14ac:dyDescent="0.3">
      <c r="A41" t="s">
        <v>19</v>
      </c>
      <c r="B41" t="s">
        <v>34</v>
      </c>
      <c r="C41" t="s">
        <v>35</v>
      </c>
      <c r="D41" t="s">
        <v>15</v>
      </c>
      <c r="E41" t="s">
        <v>36</v>
      </c>
      <c r="F41">
        <v>14547.64</v>
      </c>
      <c r="G41">
        <v>16161.82</v>
      </c>
      <c r="H41">
        <v>-1614.18</v>
      </c>
      <c r="I41">
        <v>-9.99</v>
      </c>
      <c r="J41">
        <v>15072.22</v>
      </c>
      <c r="K41">
        <v>-524.58000000000004</v>
      </c>
      <c r="L41">
        <v>96.52</v>
      </c>
    </row>
    <row r="42" spans="1:12" x14ac:dyDescent="0.3">
      <c r="A42" t="s">
        <v>20</v>
      </c>
      <c r="B42" t="s">
        <v>34</v>
      </c>
      <c r="C42" t="s">
        <v>35</v>
      </c>
      <c r="D42" t="s">
        <v>15</v>
      </c>
      <c r="E42" t="s">
        <v>36</v>
      </c>
      <c r="F42">
        <v>15193.11</v>
      </c>
      <c r="G42">
        <v>14547.64</v>
      </c>
      <c r="H42">
        <v>645.47</v>
      </c>
      <c r="I42">
        <v>4.4400000000000004</v>
      </c>
      <c r="J42">
        <v>14328.76</v>
      </c>
      <c r="K42">
        <v>864.35</v>
      </c>
      <c r="L42">
        <v>106.03</v>
      </c>
    </row>
    <row r="43" spans="1:12" x14ac:dyDescent="0.3">
      <c r="A43" t="s">
        <v>21</v>
      </c>
      <c r="B43" t="s">
        <v>34</v>
      </c>
      <c r="C43" t="s">
        <v>35</v>
      </c>
      <c r="D43" t="s">
        <v>15</v>
      </c>
      <c r="E43" t="s">
        <v>36</v>
      </c>
      <c r="F43">
        <v>15635.7</v>
      </c>
      <c r="G43">
        <v>15193.11</v>
      </c>
      <c r="H43">
        <v>442.59</v>
      </c>
      <c r="I43">
        <v>2.91</v>
      </c>
      <c r="J43">
        <v>15109.68</v>
      </c>
      <c r="K43">
        <v>526.02</v>
      </c>
      <c r="L43">
        <v>103.48</v>
      </c>
    </row>
    <row r="44" spans="1:12" x14ac:dyDescent="0.3">
      <c r="A44" t="s">
        <v>22</v>
      </c>
      <c r="B44" t="s">
        <v>34</v>
      </c>
      <c r="C44" t="s">
        <v>35</v>
      </c>
      <c r="D44" t="s">
        <v>15</v>
      </c>
      <c r="E44" t="s">
        <v>36</v>
      </c>
      <c r="F44">
        <v>18205.91</v>
      </c>
      <c r="G44">
        <v>15635.7</v>
      </c>
      <c r="H44">
        <v>2570.21</v>
      </c>
      <c r="I44">
        <v>16.440000000000001</v>
      </c>
      <c r="J44">
        <v>17662.509999999998</v>
      </c>
      <c r="K44">
        <v>543.4</v>
      </c>
      <c r="L44">
        <v>103.08</v>
      </c>
    </row>
    <row r="45" spans="1:12" x14ac:dyDescent="0.3">
      <c r="A45" t="s">
        <v>23</v>
      </c>
      <c r="B45" t="s">
        <v>34</v>
      </c>
      <c r="C45" t="s">
        <v>35</v>
      </c>
      <c r="D45" t="s">
        <v>15</v>
      </c>
      <c r="E45" t="s">
        <v>36</v>
      </c>
      <c r="F45">
        <v>17017.96</v>
      </c>
      <c r="G45">
        <v>18205.91</v>
      </c>
      <c r="H45">
        <v>-1187.95</v>
      </c>
      <c r="I45">
        <v>-6.53</v>
      </c>
      <c r="J45">
        <v>16452.310000000001</v>
      </c>
      <c r="K45">
        <v>565.65</v>
      </c>
      <c r="L45">
        <v>103.44</v>
      </c>
    </row>
    <row r="46" spans="1:12" x14ac:dyDescent="0.3">
      <c r="A46" t="s">
        <v>24</v>
      </c>
      <c r="B46" t="s">
        <v>34</v>
      </c>
      <c r="C46" t="s">
        <v>35</v>
      </c>
      <c r="D46" t="s">
        <v>15</v>
      </c>
      <c r="E46" t="s">
        <v>36</v>
      </c>
      <c r="F46">
        <v>17339.3</v>
      </c>
      <c r="G46">
        <v>17017.96</v>
      </c>
      <c r="H46">
        <v>321.33999999999997</v>
      </c>
      <c r="I46">
        <v>1.89</v>
      </c>
      <c r="J46">
        <v>17557.63</v>
      </c>
      <c r="K46">
        <v>-218.33</v>
      </c>
      <c r="L46">
        <v>98.76</v>
      </c>
    </row>
    <row r="47" spans="1:12" x14ac:dyDescent="0.3">
      <c r="A47" t="s">
        <v>25</v>
      </c>
      <c r="B47" t="s">
        <v>34</v>
      </c>
      <c r="C47" t="s">
        <v>35</v>
      </c>
      <c r="D47" t="s">
        <v>15</v>
      </c>
      <c r="E47" t="s">
        <v>36</v>
      </c>
      <c r="F47">
        <v>15246.31</v>
      </c>
      <c r="G47">
        <v>17339.3</v>
      </c>
      <c r="H47">
        <v>-2092.9899999999998</v>
      </c>
      <c r="I47">
        <v>-12.07</v>
      </c>
      <c r="J47">
        <v>15312.19</v>
      </c>
      <c r="K47">
        <v>-65.88</v>
      </c>
      <c r="L47">
        <v>99.57</v>
      </c>
    </row>
    <row r="48" spans="1:12" x14ac:dyDescent="0.3">
      <c r="A48" t="s">
        <v>26</v>
      </c>
      <c r="B48" t="s">
        <v>34</v>
      </c>
      <c r="C48" t="s">
        <v>35</v>
      </c>
      <c r="D48" t="s">
        <v>15</v>
      </c>
      <c r="E48" t="s">
        <v>36</v>
      </c>
      <c r="F48">
        <v>15740.94</v>
      </c>
      <c r="G48">
        <v>15246.31</v>
      </c>
      <c r="H48">
        <v>494.63</v>
      </c>
      <c r="I48">
        <v>3.24</v>
      </c>
      <c r="J48">
        <v>15386.85</v>
      </c>
      <c r="K48">
        <v>354.09</v>
      </c>
      <c r="L48">
        <v>102.3</v>
      </c>
    </row>
    <row r="49" spans="1:12" x14ac:dyDescent="0.3">
      <c r="A49" t="s">
        <v>27</v>
      </c>
      <c r="B49" t="s">
        <v>34</v>
      </c>
      <c r="C49" t="s">
        <v>35</v>
      </c>
      <c r="D49" t="s">
        <v>15</v>
      </c>
      <c r="E49" t="s">
        <v>36</v>
      </c>
      <c r="F49">
        <v>16617.28</v>
      </c>
      <c r="G49">
        <v>15740.94</v>
      </c>
      <c r="H49">
        <v>876.34</v>
      </c>
      <c r="I49">
        <v>5.57</v>
      </c>
      <c r="J49">
        <v>16127.97</v>
      </c>
      <c r="K49">
        <v>489.31</v>
      </c>
      <c r="L49">
        <v>103.03</v>
      </c>
    </row>
    <row r="50" spans="1:12" x14ac:dyDescent="0.3">
      <c r="A50" t="s">
        <v>12</v>
      </c>
      <c r="B50" t="s">
        <v>37</v>
      </c>
      <c r="C50" t="s">
        <v>38</v>
      </c>
      <c r="D50" t="s">
        <v>15</v>
      </c>
      <c r="E50" t="s">
        <v>39</v>
      </c>
      <c r="F50">
        <v>15408.37</v>
      </c>
      <c r="J50">
        <v>15061.76</v>
      </c>
      <c r="K50">
        <v>346.61</v>
      </c>
      <c r="L50">
        <v>102.3</v>
      </c>
    </row>
    <row r="51" spans="1:12" x14ac:dyDescent="0.3">
      <c r="A51" t="s">
        <v>17</v>
      </c>
      <c r="B51" t="s">
        <v>37</v>
      </c>
      <c r="C51" t="s">
        <v>38</v>
      </c>
      <c r="D51" t="s">
        <v>15</v>
      </c>
      <c r="E51" t="s">
        <v>39</v>
      </c>
      <c r="F51">
        <v>15734.84</v>
      </c>
      <c r="G51">
        <v>15408.37</v>
      </c>
      <c r="H51">
        <v>326.47000000000003</v>
      </c>
      <c r="I51">
        <v>2.12</v>
      </c>
      <c r="J51">
        <v>15271.51</v>
      </c>
      <c r="K51">
        <v>463.33</v>
      </c>
      <c r="L51">
        <v>103.03</v>
      </c>
    </row>
    <row r="52" spans="1:12" x14ac:dyDescent="0.3">
      <c r="A52" t="s">
        <v>18</v>
      </c>
      <c r="B52" t="s">
        <v>37</v>
      </c>
      <c r="C52" t="s">
        <v>38</v>
      </c>
      <c r="D52" t="s">
        <v>15</v>
      </c>
      <c r="E52" t="s">
        <v>39</v>
      </c>
      <c r="F52">
        <v>16628.29</v>
      </c>
      <c r="G52">
        <v>15734.84</v>
      </c>
      <c r="H52">
        <v>893.45</v>
      </c>
      <c r="I52">
        <v>5.68</v>
      </c>
      <c r="J52">
        <v>17227.89</v>
      </c>
      <c r="K52">
        <v>-599.6</v>
      </c>
      <c r="L52">
        <v>96.52</v>
      </c>
    </row>
    <row r="53" spans="1:12" x14ac:dyDescent="0.3">
      <c r="A53" t="s">
        <v>19</v>
      </c>
      <c r="B53" t="s">
        <v>37</v>
      </c>
      <c r="C53" t="s">
        <v>38</v>
      </c>
      <c r="D53" t="s">
        <v>15</v>
      </c>
      <c r="E53" t="s">
        <v>39</v>
      </c>
      <c r="F53">
        <v>13515.96</v>
      </c>
      <c r="G53">
        <v>16628.29</v>
      </c>
      <c r="H53">
        <v>-3112.33</v>
      </c>
      <c r="I53">
        <v>-18.72</v>
      </c>
      <c r="J53">
        <v>12747.03</v>
      </c>
      <c r="K53">
        <v>768.93</v>
      </c>
      <c r="L53">
        <v>106.03</v>
      </c>
    </row>
    <row r="54" spans="1:12" x14ac:dyDescent="0.3">
      <c r="A54" t="s">
        <v>20</v>
      </c>
      <c r="B54" t="s">
        <v>37</v>
      </c>
      <c r="C54" t="s">
        <v>38</v>
      </c>
      <c r="D54" t="s">
        <v>15</v>
      </c>
      <c r="E54" t="s">
        <v>39</v>
      </c>
      <c r="F54">
        <v>16433.509999999998</v>
      </c>
      <c r="G54">
        <v>13515.96</v>
      </c>
      <c r="H54">
        <v>2917.55</v>
      </c>
      <c r="I54">
        <v>21.59</v>
      </c>
      <c r="J54">
        <v>15880.65</v>
      </c>
      <c r="K54">
        <v>552.86</v>
      </c>
      <c r="L54">
        <v>103.48</v>
      </c>
    </row>
    <row r="55" spans="1:12" x14ac:dyDescent="0.3">
      <c r="A55" t="s">
        <v>21</v>
      </c>
      <c r="B55" t="s">
        <v>37</v>
      </c>
      <c r="C55" t="s">
        <v>38</v>
      </c>
      <c r="D55" t="s">
        <v>15</v>
      </c>
      <c r="E55" t="s">
        <v>39</v>
      </c>
      <c r="F55">
        <v>15939.15</v>
      </c>
      <c r="G55">
        <v>16433.509999999998</v>
      </c>
      <c r="H55">
        <v>-494.36</v>
      </c>
      <c r="I55">
        <v>-3.01</v>
      </c>
      <c r="J55">
        <v>15463.41</v>
      </c>
      <c r="K55">
        <v>475.74</v>
      </c>
      <c r="L55">
        <v>103.08</v>
      </c>
    </row>
    <row r="56" spans="1:12" x14ac:dyDescent="0.3">
      <c r="A56" t="s">
        <v>22</v>
      </c>
      <c r="B56" t="s">
        <v>37</v>
      </c>
      <c r="C56" t="s">
        <v>38</v>
      </c>
      <c r="D56" t="s">
        <v>15</v>
      </c>
      <c r="E56" t="s">
        <v>39</v>
      </c>
      <c r="F56">
        <v>17149.03</v>
      </c>
      <c r="G56">
        <v>15939.15</v>
      </c>
      <c r="H56">
        <v>1209.8800000000001</v>
      </c>
      <c r="I56">
        <v>7.59</v>
      </c>
      <c r="J56">
        <v>16579.02</v>
      </c>
      <c r="K56">
        <v>570.01</v>
      </c>
      <c r="L56">
        <v>103.44</v>
      </c>
    </row>
    <row r="57" spans="1:12" x14ac:dyDescent="0.3">
      <c r="A57" t="s">
        <v>23</v>
      </c>
      <c r="B57" t="s">
        <v>37</v>
      </c>
      <c r="C57" t="s">
        <v>38</v>
      </c>
      <c r="D57" t="s">
        <v>15</v>
      </c>
      <c r="E57" t="s">
        <v>39</v>
      </c>
      <c r="F57">
        <v>16544.060000000001</v>
      </c>
      <c r="G57">
        <v>17149.03</v>
      </c>
      <c r="H57">
        <v>-604.97</v>
      </c>
      <c r="I57">
        <v>-3.53</v>
      </c>
      <c r="J57">
        <v>16752.37</v>
      </c>
      <c r="K57">
        <v>-208.31</v>
      </c>
      <c r="L57">
        <v>98.76</v>
      </c>
    </row>
    <row r="58" spans="1:12" x14ac:dyDescent="0.3">
      <c r="A58" t="s">
        <v>24</v>
      </c>
      <c r="B58" t="s">
        <v>37</v>
      </c>
      <c r="C58" t="s">
        <v>38</v>
      </c>
      <c r="D58" t="s">
        <v>15</v>
      </c>
      <c r="E58" t="s">
        <v>39</v>
      </c>
      <c r="F58">
        <v>16242.74</v>
      </c>
      <c r="G58">
        <v>16544.060000000001</v>
      </c>
      <c r="H58">
        <v>-301.32</v>
      </c>
      <c r="I58">
        <v>-1.82</v>
      </c>
      <c r="J58">
        <v>16567.400000000001</v>
      </c>
      <c r="K58">
        <v>-324.66000000000003</v>
      </c>
      <c r="L58">
        <v>98.04</v>
      </c>
    </row>
    <row r="59" spans="1:12" x14ac:dyDescent="0.3">
      <c r="A59" t="s">
        <v>25</v>
      </c>
      <c r="B59" t="s">
        <v>37</v>
      </c>
      <c r="C59" t="s">
        <v>38</v>
      </c>
      <c r="D59" t="s">
        <v>15</v>
      </c>
      <c r="E59" t="s">
        <v>39</v>
      </c>
      <c r="F59">
        <v>17856.8</v>
      </c>
      <c r="G59">
        <v>16242.74</v>
      </c>
      <c r="H59">
        <v>1614.06</v>
      </c>
      <c r="I59">
        <v>9.94</v>
      </c>
      <c r="J59">
        <v>17455.12</v>
      </c>
      <c r="K59">
        <v>401.68</v>
      </c>
      <c r="L59">
        <v>102.3</v>
      </c>
    </row>
    <row r="60" spans="1:12" x14ac:dyDescent="0.3">
      <c r="A60" t="s">
        <v>26</v>
      </c>
      <c r="B60" t="s">
        <v>37</v>
      </c>
      <c r="C60" t="s">
        <v>38</v>
      </c>
      <c r="D60" t="s">
        <v>15</v>
      </c>
      <c r="E60" t="s">
        <v>39</v>
      </c>
      <c r="F60">
        <v>14389.76</v>
      </c>
      <c r="G60">
        <v>17856.8</v>
      </c>
      <c r="H60">
        <v>-3467.04</v>
      </c>
      <c r="I60">
        <v>-19.420000000000002</v>
      </c>
      <c r="J60">
        <v>13966.04</v>
      </c>
      <c r="K60">
        <v>423.72</v>
      </c>
      <c r="L60">
        <v>103.03</v>
      </c>
    </row>
    <row r="61" spans="1:12" x14ac:dyDescent="0.3">
      <c r="A61" t="s">
        <v>27</v>
      </c>
      <c r="B61" t="s">
        <v>37</v>
      </c>
      <c r="C61" t="s">
        <v>38</v>
      </c>
      <c r="D61" t="s">
        <v>15</v>
      </c>
      <c r="E61" t="s">
        <v>39</v>
      </c>
      <c r="F61">
        <v>15932.61</v>
      </c>
      <c r="G61">
        <v>14389.76</v>
      </c>
      <c r="H61">
        <v>1542.85</v>
      </c>
      <c r="I61">
        <v>10.72</v>
      </c>
      <c r="J61">
        <v>16507.13</v>
      </c>
      <c r="K61">
        <v>-574.52</v>
      </c>
      <c r="L61">
        <v>96.52</v>
      </c>
    </row>
    <row r="62" spans="1:12" x14ac:dyDescent="0.3">
      <c r="A62" t="s">
        <v>12</v>
      </c>
      <c r="B62" t="s">
        <v>40</v>
      </c>
      <c r="C62" t="s">
        <v>41</v>
      </c>
      <c r="D62" t="s">
        <v>15</v>
      </c>
      <c r="E62" t="s">
        <v>16</v>
      </c>
      <c r="F62">
        <v>14902.62</v>
      </c>
      <c r="J62">
        <v>14463.8</v>
      </c>
      <c r="K62">
        <v>438.82</v>
      </c>
      <c r="L62">
        <v>103.03</v>
      </c>
    </row>
    <row r="63" spans="1:12" x14ac:dyDescent="0.3">
      <c r="A63" t="s">
        <v>17</v>
      </c>
      <c r="B63" t="s">
        <v>40</v>
      </c>
      <c r="C63" t="s">
        <v>41</v>
      </c>
      <c r="D63" t="s">
        <v>15</v>
      </c>
      <c r="E63" t="s">
        <v>16</v>
      </c>
      <c r="F63">
        <v>15392.72</v>
      </c>
      <c r="G63">
        <v>14902.62</v>
      </c>
      <c r="H63">
        <v>490.1</v>
      </c>
      <c r="I63">
        <v>3.29</v>
      </c>
      <c r="J63">
        <v>15947.77</v>
      </c>
      <c r="K63">
        <v>-555.04999999999995</v>
      </c>
      <c r="L63">
        <v>96.52</v>
      </c>
    </row>
    <row r="64" spans="1:12" x14ac:dyDescent="0.3">
      <c r="A64" t="s">
        <v>18</v>
      </c>
      <c r="B64" t="s">
        <v>40</v>
      </c>
      <c r="C64" t="s">
        <v>41</v>
      </c>
      <c r="D64" t="s">
        <v>15</v>
      </c>
      <c r="E64" t="s">
        <v>16</v>
      </c>
      <c r="F64">
        <v>16343.3</v>
      </c>
      <c r="G64">
        <v>15392.72</v>
      </c>
      <c r="H64">
        <v>950.58</v>
      </c>
      <c r="I64">
        <v>6.18</v>
      </c>
      <c r="J64">
        <v>15413.52</v>
      </c>
      <c r="K64">
        <v>929.78</v>
      </c>
      <c r="L64">
        <v>106.03</v>
      </c>
    </row>
    <row r="65" spans="1:12" x14ac:dyDescent="0.3">
      <c r="A65" t="s">
        <v>19</v>
      </c>
      <c r="B65" t="s">
        <v>40</v>
      </c>
      <c r="C65" t="s">
        <v>41</v>
      </c>
      <c r="D65" t="s">
        <v>15</v>
      </c>
      <c r="E65" t="s">
        <v>16</v>
      </c>
      <c r="F65">
        <v>15754.17</v>
      </c>
      <c r="G65">
        <v>16343.3</v>
      </c>
      <c r="H65">
        <v>-589.13</v>
      </c>
      <c r="I65">
        <v>-3.6</v>
      </c>
      <c r="J65">
        <v>15224.16</v>
      </c>
      <c r="K65">
        <v>530.01</v>
      </c>
      <c r="L65">
        <v>103.48</v>
      </c>
    </row>
    <row r="66" spans="1:12" x14ac:dyDescent="0.3">
      <c r="A66" t="s">
        <v>20</v>
      </c>
      <c r="B66" t="s">
        <v>40</v>
      </c>
      <c r="C66" t="s">
        <v>41</v>
      </c>
      <c r="D66" t="s">
        <v>15</v>
      </c>
      <c r="E66" t="s">
        <v>16</v>
      </c>
      <c r="F66">
        <v>14905.46</v>
      </c>
      <c r="G66">
        <v>15754.17</v>
      </c>
      <c r="H66">
        <v>-848.71</v>
      </c>
      <c r="I66">
        <v>-5.39</v>
      </c>
      <c r="J66">
        <v>14460.57</v>
      </c>
      <c r="K66">
        <v>444.89</v>
      </c>
      <c r="L66">
        <v>103.08</v>
      </c>
    </row>
    <row r="67" spans="1:12" x14ac:dyDescent="0.3">
      <c r="A67" t="s">
        <v>21</v>
      </c>
      <c r="B67" t="s">
        <v>40</v>
      </c>
      <c r="C67" t="s">
        <v>41</v>
      </c>
      <c r="D67" t="s">
        <v>15</v>
      </c>
      <c r="E67" t="s">
        <v>16</v>
      </c>
      <c r="F67">
        <v>16239.15</v>
      </c>
      <c r="G67">
        <v>14905.46</v>
      </c>
      <c r="H67">
        <v>1333.69</v>
      </c>
      <c r="I67">
        <v>8.9499999999999993</v>
      </c>
      <c r="J67">
        <v>15699.38</v>
      </c>
      <c r="K67">
        <v>539.77</v>
      </c>
      <c r="L67">
        <v>103.44</v>
      </c>
    </row>
    <row r="68" spans="1:12" x14ac:dyDescent="0.3">
      <c r="A68" t="s">
        <v>22</v>
      </c>
      <c r="B68" t="s">
        <v>40</v>
      </c>
      <c r="C68" t="s">
        <v>41</v>
      </c>
      <c r="D68" t="s">
        <v>15</v>
      </c>
      <c r="E68" t="s">
        <v>16</v>
      </c>
      <c r="F68">
        <v>16540.490000000002</v>
      </c>
      <c r="G68">
        <v>16239.15</v>
      </c>
      <c r="H68">
        <v>301.33999999999997</v>
      </c>
      <c r="I68">
        <v>1.86</v>
      </c>
      <c r="J68">
        <v>16748.759999999998</v>
      </c>
      <c r="K68">
        <v>-208.27</v>
      </c>
      <c r="L68">
        <v>98.76</v>
      </c>
    </row>
    <row r="69" spans="1:12" x14ac:dyDescent="0.3">
      <c r="A69" t="s">
        <v>23</v>
      </c>
      <c r="B69" t="s">
        <v>40</v>
      </c>
      <c r="C69" t="s">
        <v>41</v>
      </c>
      <c r="D69" t="s">
        <v>15</v>
      </c>
      <c r="E69" t="s">
        <v>16</v>
      </c>
      <c r="F69">
        <v>18169.23</v>
      </c>
      <c r="G69">
        <v>16540.490000000002</v>
      </c>
      <c r="H69">
        <v>1628.74</v>
      </c>
      <c r="I69">
        <v>9.85</v>
      </c>
      <c r="J69">
        <v>18532.39</v>
      </c>
      <c r="K69">
        <v>-363.16</v>
      </c>
      <c r="L69">
        <v>98.04</v>
      </c>
    </row>
    <row r="70" spans="1:12" x14ac:dyDescent="0.3">
      <c r="A70" t="s">
        <v>24</v>
      </c>
      <c r="B70" t="s">
        <v>40</v>
      </c>
      <c r="C70" t="s">
        <v>41</v>
      </c>
      <c r="D70" t="s">
        <v>15</v>
      </c>
      <c r="E70" t="s">
        <v>16</v>
      </c>
      <c r="F70">
        <v>15785.99</v>
      </c>
      <c r="G70">
        <v>18169.23</v>
      </c>
      <c r="H70">
        <v>-2383.2399999999998</v>
      </c>
      <c r="I70">
        <v>-13.12</v>
      </c>
      <c r="J70">
        <v>16491.36</v>
      </c>
      <c r="K70">
        <v>-705.37</v>
      </c>
      <c r="L70">
        <v>95.72</v>
      </c>
    </row>
    <row r="71" spans="1:12" x14ac:dyDescent="0.3">
      <c r="A71" t="s">
        <v>25</v>
      </c>
      <c r="B71" t="s">
        <v>40</v>
      </c>
      <c r="C71" t="s">
        <v>41</v>
      </c>
      <c r="D71" t="s">
        <v>15</v>
      </c>
      <c r="E71" t="s">
        <v>16</v>
      </c>
      <c r="F71">
        <v>15621.95</v>
      </c>
      <c r="G71">
        <v>15785.99</v>
      </c>
      <c r="H71">
        <v>-164.04</v>
      </c>
      <c r="I71">
        <v>-1.04</v>
      </c>
      <c r="J71">
        <v>15161.95</v>
      </c>
      <c r="K71">
        <v>460</v>
      </c>
      <c r="L71">
        <v>103.03</v>
      </c>
    </row>
    <row r="72" spans="1:12" x14ac:dyDescent="0.3">
      <c r="A72" t="s">
        <v>26</v>
      </c>
      <c r="B72" t="s">
        <v>40</v>
      </c>
      <c r="C72" t="s">
        <v>41</v>
      </c>
      <c r="D72" t="s">
        <v>15</v>
      </c>
      <c r="E72" t="s">
        <v>16</v>
      </c>
      <c r="F72">
        <v>14923.47</v>
      </c>
      <c r="G72">
        <v>15621.95</v>
      </c>
      <c r="H72">
        <v>-698.48</v>
      </c>
      <c r="I72">
        <v>-4.47</v>
      </c>
      <c r="J72">
        <v>15461.6</v>
      </c>
      <c r="K72">
        <v>-538.13</v>
      </c>
      <c r="L72">
        <v>96.52</v>
      </c>
    </row>
    <row r="73" spans="1:12" x14ac:dyDescent="0.3">
      <c r="A73" t="s">
        <v>27</v>
      </c>
      <c r="B73" t="s">
        <v>40</v>
      </c>
      <c r="C73" t="s">
        <v>41</v>
      </c>
      <c r="D73" t="s">
        <v>15</v>
      </c>
      <c r="E73" t="s">
        <v>16</v>
      </c>
      <c r="F73">
        <v>15671.63</v>
      </c>
      <c r="G73">
        <v>14923.47</v>
      </c>
      <c r="H73">
        <v>748.16</v>
      </c>
      <c r="I73">
        <v>5.01</v>
      </c>
      <c r="J73">
        <v>14780.06</v>
      </c>
      <c r="K73">
        <v>891.57</v>
      </c>
      <c r="L73">
        <v>106.03</v>
      </c>
    </row>
    <row r="74" spans="1:12" x14ac:dyDescent="0.3">
      <c r="A74" t="s">
        <v>12</v>
      </c>
      <c r="B74" t="s">
        <v>42</v>
      </c>
      <c r="C74" t="s">
        <v>43</v>
      </c>
      <c r="D74" t="s">
        <v>15</v>
      </c>
      <c r="E74" t="s">
        <v>30</v>
      </c>
      <c r="F74">
        <v>17222.78</v>
      </c>
      <c r="J74">
        <v>17843.82</v>
      </c>
      <c r="K74">
        <v>-621.04</v>
      </c>
      <c r="L74">
        <v>96.52</v>
      </c>
    </row>
    <row r="75" spans="1:12" x14ac:dyDescent="0.3">
      <c r="A75" t="s">
        <v>17</v>
      </c>
      <c r="B75" t="s">
        <v>42</v>
      </c>
      <c r="C75" t="s">
        <v>43</v>
      </c>
      <c r="D75" t="s">
        <v>15</v>
      </c>
      <c r="E75" t="s">
        <v>30</v>
      </c>
      <c r="F75">
        <v>14538.96</v>
      </c>
      <c r="G75">
        <v>17222.78</v>
      </c>
      <c r="H75">
        <v>-2683.82</v>
      </c>
      <c r="I75">
        <v>-15.58</v>
      </c>
      <c r="J75">
        <v>13711.83</v>
      </c>
      <c r="K75">
        <v>827.13</v>
      </c>
      <c r="L75">
        <v>106.03</v>
      </c>
    </row>
    <row r="76" spans="1:12" x14ac:dyDescent="0.3">
      <c r="A76" t="s">
        <v>18</v>
      </c>
      <c r="B76" t="s">
        <v>42</v>
      </c>
      <c r="C76" t="s">
        <v>43</v>
      </c>
      <c r="D76" t="s">
        <v>15</v>
      </c>
      <c r="E76" t="s">
        <v>30</v>
      </c>
      <c r="F76">
        <v>16986.88</v>
      </c>
      <c r="G76">
        <v>14538.96</v>
      </c>
      <c r="H76">
        <v>2447.92</v>
      </c>
      <c r="I76">
        <v>16.84</v>
      </c>
      <c r="J76">
        <v>16415.400000000001</v>
      </c>
      <c r="K76">
        <v>571.48</v>
      </c>
      <c r="L76">
        <v>103.48</v>
      </c>
    </row>
    <row r="77" spans="1:12" x14ac:dyDescent="0.3">
      <c r="A77" t="s">
        <v>19</v>
      </c>
      <c r="B77" t="s">
        <v>42</v>
      </c>
      <c r="C77" t="s">
        <v>43</v>
      </c>
      <c r="D77" t="s">
        <v>15</v>
      </c>
      <c r="E77" t="s">
        <v>30</v>
      </c>
      <c r="F77">
        <v>15125.02</v>
      </c>
      <c r="G77">
        <v>16986.88</v>
      </c>
      <c r="H77">
        <v>-1861.86</v>
      </c>
      <c r="I77">
        <v>-10.96</v>
      </c>
      <c r="J77">
        <v>14673.58</v>
      </c>
      <c r="K77">
        <v>451.44</v>
      </c>
      <c r="L77">
        <v>103.08</v>
      </c>
    </row>
    <row r="78" spans="1:12" x14ac:dyDescent="0.3">
      <c r="A78" t="s">
        <v>20</v>
      </c>
      <c r="B78" t="s">
        <v>42</v>
      </c>
      <c r="C78" t="s">
        <v>43</v>
      </c>
      <c r="D78" t="s">
        <v>15</v>
      </c>
      <c r="E78" t="s">
        <v>30</v>
      </c>
      <c r="F78">
        <v>16232.99</v>
      </c>
      <c r="G78">
        <v>15125.02</v>
      </c>
      <c r="H78">
        <v>1107.97</v>
      </c>
      <c r="I78">
        <v>7.33</v>
      </c>
      <c r="J78">
        <v>15693.43</v>
      </c>
      <c r="K78">
        <v>539.55999999999995</v>
      </c>
      <c r="L78">
        <v>103.44</v>
      </c>
    </row>
    <row r="79" spans="1:12" x14ac:dyDescent="0.3">
      <c r="A79" t="s">
        <v>21</v>
      </c>
      <c r="B79" t="s">
        <v>42</v>
      </c>
      <c r="C79" t="s">
        <v>43</v>
      </c>
      <c r="D79" t="s">
        <v>15</v>
      </c>
      <c r="E79" t="s">
        <v>30</v>
      </c>
      <c r="F79">
        <v>15616.58</v>
      </c>
      <c r="G79">
        <v>16232.99</v>
      </c>
      <c r="H79">
        <v>-616.41</v>
      </c>
      <c r="I79">
        <v>-3.8</v>
      </c>
      <c r="J79">
        <v>15813.22</v>
      </c>
      <c r="K79">
        <v>-196.64</v>
      </c>
      <c r="L79">
        <v>98.76</v>
      </c>
    </row>
    <row r="80" spans="1:12" x14ac:dyDescent="0.3">
      <c r="A80" t="s">
        <v>22</v>
      </c>
      <c r="B80" t="s">
        <v>42</v>
      </c>
      <c r="C80" t="s">
        <v>43</v>
      </c>
      <c r="D80" t="s">
        <v>15</v>
      </c>
      <c r="E80" t="s">
        <v>30</v>
      </c>
      <c r="F80">
        <v>16740.169999999998</v>
      </c>
      <c r="G80">
        <v>15616.58</v>
      </c>
      <c r="H80">
        <v>1123.5899999999999</v>
      </c>
      <c r="I80">
        <v>7.19</v>
      </c>
      <c r="J80">
        <v>17074.77</v>
      </c>
      <c r="K80">
        <v>-334.6</v>
      </c>
      <c r="L80">
        <v>98.04</v>
      </c>
    </row>
    <row r="81" spans="1:12" x14ac:dyDescent="0.3">
      <c r="A81" t="s">
        <v>23</v>
      </c>
      <c r="B81" t="s">
        <v>42</v>
      </c>
      <c r="C81" t="s">
        <v>43</v>
      </c>
      <c r="D81" t="s">
        <v>15</v>
      </c>
      <c r="E81" t="s">
        <v>30</v>
      </c>
      <c r="F81">
        <v>15291.68</v>
      </c>
      <c r="G81">
        <v>16740.169999999998</v>
      </c>
      <c r="H81">
        <v>-1448.49</v>
      </c>
      <c r="I81">
        <v>-8.65</v>
      </c>
      <c r="J81">
        <v>15974.96</v>
      </c>
      <c r="K81">
        <v>-683.28</v>
      </c>
      <c r="L81">
        <v>95.72</v>
      </c>
    </row>
    <row r="82" spans="1:12" x14ac:dyDescent="0.3">
      <c r="A82" t="s">
        <v>24</v>
      </c>
      <c r="B82" t="s">
        <v>42</v>
      </c>
      <c r="C82" t="s">
        <v>43</v>
      </c>
      <c r="D82" t="s">
        <v>15</v>
      </c>
      <c r="E82" t="s">
        <v>30</v>
      </c>
      <c r="F82">
        <v>15860.82</v>
      </c>
      <c r="G82">
        <v>15291.68</v>
      </c>
      <c r="H82">
        <v>569.14</v>
      </c>
      <c r="I82">
        <v>3.72</v>
      </c>
      <c r="J82">
        <v>15983.27</v>
      </c>
      <c r="K82">
        <v>-122.45</v>
      </c>
      <c r="L82">
        <v>99.23</v>
      </c>
    </row>
    <row r="83" spans="1:12" x14ac:dyDescent="0.3">
      <c r="A83" t="s">
        <v>25</v>
      </c>
      <c r="B83" t="s">
        <v>42</v>
      </c>
      <c r="C83" t="s">
        <v>43</v>
      </c>
      <c r="D83" t="s">
        <v>15</v>
      </c>
      <c r="E83" t="s">
        <v>30</v>
      </c>
      <c r="F83">
        <v>16691.66</v>
      </c>
      <c r="G83">
        <v>15860.82</v>
      </c>
      <c r="H83">
        <v>830.84</v>
      </c>
      <c r="I83">
        <v>5.24</v>
      </c>
      <c r="J83">
        <v>17293.55</v>
      </c>
      <c r="K83">
        <v>-601.89</v>
      </c>
      <c r="L83">
        <v>96.52</v>
      </c>
    </row>
    <row r="84" spans="1:12" x14ac:dyDescent="0.3">
      <c r="A84" t="s">
        <v>26</v>
      </c>
      <c r="B84" t="s">
        <v>42</v>
      </c>
      <c r="C84" t="s">
        <v>43</v>
      </c>
      <c r="D84" t="s">
        <v>15</v>
      </c>
      <c r="E84" t="s">
        <v>30</v>
      </c>
      <c r="F84">
        <v>16312.5</v>
      </c>
      <c r="G84">
        <v>16691.66</v>
      </c>
      <c r="H84">
        <v>-379.16</v>
      </c>
      <c r="I84">
        <v>-2.27</v>
      </c>
      <c r="J84">
        <v>15384.47</v>
      </c>
      <c r="K84">
        <v>928.03</v>
      </c>
      <c r="L84">
        <v>106.03</v>
      </c>
    </row>
    <row r="85" spans="1:12" x14ac:dyDescent="0.3">
      <c r="A85" t="s">
        <v>27</v>
      </c>
      <c r="B85" t="s">
        <v>42</v>
      </c>
      <c r="C85" t="s">
        <v>43</v>
      </c>
      <c r="D85" t="s">
        <v>15</v>
      </c>
      <c r="E85" t="s">
        <v>30</v>
      </c>
      <c r="F85">
        <v>16509.62</v>
      </c>
      <c r="G85">
        <v>16312.5</v>
      </c>
      <c r="H85">
        <v>197.12</v>
      </c>
      <c r="I85">
        <v>1.21</v>
      </c>
      <c r="J85">
        <v>15954.2</v>
      </c>
      <c r="K85">
        <v>555.41999999999996</v>
      </c>
      <c r="L85">
        <v>103.48</v>
      </c>
    </row>
    <row r="86" spans="1:12" x14ac:dyDescent="0.3">
      <c r="A86" t="s">
        <v>12</v>
      </c>
      <c r="B86" t="s">
        <v>44</v>
      </c>
      <c r="C86" t="s">
        <v>45</v>
      </c>
      <c r="D86" t="s">
        <v>15</v>
      </c>
      <c r="E86" t="s">
        <v>33</v>
      </c>
      <c r="F86">
        <v>17663.95</v>
      </c>
      <c r="J86">
        <v>16659.03</v>
      </c>
      <c r="K86">
        <v>1004.92</v>
      </c>
      <c r="L86">
        <v>106.03</v>
      </c>
    </row>
    <row r="87" spans="1:12" x14ac:dyDescent="0.3">
      <c r="A87" t="s">
        <v>17</v>
      </c>
      <c r="B87" t="s">
        <v>44</v>
      </c>
      <c r="C87" t="s">
        <v>45</v>
      </c>
      <c r="D87" t="s">
        <v>15</v>
      </c>
      <c r="E87" t="s">
        <v>33</v>
      </c>
      <c r="F87">
        <v>12796.31</v>
      </c>
      <c r="G87">
        <v>17663.95</v>
      </c>
      <c r="H87">
        <v>-4867.6400000000003</v>
      </c>
      <c r="I87">
        <v>-27.56</v>
      </c>
      <c r="J87">
        <v>12365.81</v>
      </c>
      <c r="K87">
        <v>430.5</v>
      </c>
      <c r="L87">
        <v>103.48</v>
      </c>
    </row>
    <row r="88" spans="1:12" x14ac:dyDescent="0.3">
      <c r="A88" t="s">
        <v>18</v>
      </c>
      <c r="B88" t="s">
        <v>44</v>
      </c>
      <c r="C88" t="s">
        <v>45</v>
      </c>
      <c r="D88" t="s">
        <v>15</v>
      </c>
      <c r="E88" t="s">
        <v>33</v>
      </c>
      <c r="F88">
        <v>15633.54</v>
      </c>
      <c r="G88">
        <v>12796.31</v>
      </c>
      <c r="H88">
        <v>2837.23</v>
      </c>
      <c r="I88">
        <v>22.17</v>
      </c>
      <c r="J88">
        <v>15166.92</v>
      </c>
      <c r="K88">
        <v>466.62</v>
      </c>
      <c r="L88">
        <v>103.08</v>
      </c>
    </row>
    <row r="89" spans="1:12" x14ac:dyDescent="0.3">
      <c r="A89" t="s">
        <v>19</v>
      </c>
      <c r="B89" t="s">
        <v>44</v>
      </c>
      <c r="C89" t="s">
        <v>45</v>
      </c>
      <c r="D89" t="s">
        <v>15</v>
      </c>
      <c r="E89" t="s">
        <v>33</v>
      </c>
      <c r="F89">
        <v>14077.44</v>
      </c>
      <c r="G89">
        <v>15633.54</v>
      </c>
      <c r="H89">
        <v>-1556.1</v>
      </c>
      <c r="I89">
        <v>-9.9499999999999993</v>
      </c>
      <c r="J89">
        <v>13609.53</v>
      </c>
      <c r="K89">
        <v>467.91</v>
      </c>
      <c r="L89">
        <v>103.44</v>
      </c>
    </row>
    <row r="90" spans="1:12" x14ac:dyDescent="0.3">
      <c r="A90" t="s">
        <v>20</v>
      </c>
      <c r="B90" t="s">
        <v>44</v>
      </c>
      <c r="C90" t="s">
        <v>45</v>
      </c>
      <c r="D90" t="s">
        <v>15</v>
      </c>
      <c r="E90" t="s">
        <v>33</v>
      </c>
      <c r="F90">
        <v>16208.51</v>
      </c>
      <c r="G90">
        <v>14077.44</v>
      </c>
      <c r="H90">
        <v>2131.0700000000002</v>
      </c>
      <c r="I90">
        <v>15.14</v>
      </c>
      <c r="J90">
        <v>16412.599999999999</v>
      </c>
      <c r="K90">
        <v>-204.09</v>
      </c>
      <c r="L90">
        <v>98.76</v>
      </c>
    </row>
    <row r="91" spans="1:12" x14ac:dyDescent="0.3">
      <c r="A91" t="s">
        <v>21</v>
      </c>
      <c r="B91" t="s">
        <v>44</v>
      </c>
      <c r="C91" t="s">
        <v>45</v>
      </c>
      <c r="D91" t="s">
        <v>15</v>
      </c>
      <c r="E91" t="s">
        <v>33</v>
      </c>
      <c r="F91">
        <v>15347.92</v>
      </c>
      <c r="G91">
        <v>16208.51</v>
      </c>
      <c r="H91">
        <v>-860.59</v>
      </c>
      <c r="I91">
        <v>-5.31</v>
      </c>
      <c r="J91">
        <v>15654.69</v>
      </c>
      <c r="K91">
        <v>-306.77</v>
      </c>
      <c r="L91">
        <v>98.04</v>
      </c>
    </row>
    <row r="92" spans="1:12" x14ac:dyDescent="0.3">
      <c r="A92" t="s">
        <v>22</v>
      </c>
      <c r="B92" t="s">
        <v>44</v>
      </c>
      <c r="C92" t="s">
        <v>45</v>
      </c>
      <c r="D92" t="s">
        <v>15</v>
      </c>
      <c r="E92" t="s">
        <v>33</v>
      </c>
      <c r="F92">
        <v>16685.23</v>
      </c>
      <c r="G92">
        <v>15347.92</v>
      </c>
      <c r="H92">
        <v>1337.31</v>
      </c>
      <c r="I92">
        <v>8.7100000000000009</v>
      </c>
      <c r="J92">
        <v>17430.78</v>
      </c>
      <c r="K92">
        <v>-745.55</v>
      </c>
      <c r="L92">
        <v>95.72</v>
      </c>
    </row>
    <row r="93" spans="1:12" x14ac:dyDescent="0.3">
      <c r="A93" t="s">
        <v>23</v>
      </c>
      <c r="B93" t="s">
        <v>44</v>
      </c>
      <c r="C93" t="s">
        <v>45</v>
      </c>
      <c r="D93" t="s">
        <v>15</v>
      </c>
      <c r="E93" t="s">
        <v>33</v>
      </c>
      <c r="F93">
        <v>16817.12</v>
      </c>
      <c r="G93">
        <v>16685.23</v>
      </c>
      <c r="H93">
        <v>131.88999999999999</v>
      </c>
      <c r="I93">
        <v>0.79</v>
      </c>
      <c r="J93">
        <v>16946.95</v>
      </c>
      <c r="K93">
        <v>-129.83000000000001</v>
      </c>
      <c r="L93">
        <v>99.23</v>
      </c>
    </row>
    <row r="94" spans="1:12" x14ac:dyDescent="0.3">
      <c r="A94" t="s">
        <v>24</v>
      </c>
      <c r="B94" t="s">
        <v>44</v>
      </c>
      <c r="C94" t="s">
        <v>45</v>
      </c>
      <c r="D94" t="s">
        <v>15</v>
      </c>
      <c r="E94" t="s">
        <v>33</v>
      </c>
      <c r="F94">
        <v>14755.4</v>
      </c>
      <c r="G94">
        <v>16817.12</v>
      </c>
      <c r="H94">
        <v>-2061.7199999999998</v>
      </c>
      <c r="I94">
        <v>-12.26</v>
      </c>
      <c r="J94">
        <v>15545.62</v>
      </c>
      <c r="K94">
        <v>-790.22</v>
      </c>
      <c r="L94">
        <v>94.92</v>
      </c>
    </row>
    <row r="95" spans="1:12" x14ac:dyDescent="0.3">
      <c r="A95" t="s">
        <v>25</v>
      </c>
      <c r="B95" t="s">
        <v>44</v>
      </c>
      <c r="C95" t="s">
        <v>45</v>
      </c>
      <c r="D95" t="s">
        <v>15</v>
      </c>
      <c r="E95" t="s">
        <v>33</v>
      </c>
      <c r="F95">
        <v>16962.66</v>
      </c>
      <c r="G95">
        <v>14755.4</v>
      </c>
      <c r="H95">
        <v>2207.2600000000002</v>
      </c>
      <c r="I95">
        <v>14.96</v>
      </c>
      <c r="J95">
        <v>15997.64</v>
      </c>
      <c r="K95">
        <v>965.02</v>
      </c>
      <c r="L95">
        <v>106.03</v>
      </c>
    </row>
    <row r="96" spans="1:12" x14ac:dyDescent="0.3">
      <c r="A96" t="s">
        <v>26</v>
      </c>
      <c r="B96" t="s">
        <v>44</v>
      </c>
      <c r="C96" t="s">
        <v>45</v>
      </c>
      <c r="D96" t="s">
        <v>15</v>
      </c>
      <c r="E96" t="s">
        <v>33</v>
      </c>
      <c r="F96">
        <v>16252.49</v>
      </c>
      <c r="G96">
        <v>16962.66</v>
      </c>
      <c r="H96">
        <v>-710.17</v>
      </c>
      <c r="I96">
        <v>-4.1900000000000004</v>
      </c>
      <c r="J96">
        <v>15705.72</v>
      </c>
      <c r="K96">
        <v>546.77</v>
      </c>
      <c r="L96">
        <v>103.48</v>
      </c>
    </row>
    <row r="97" spans="1:12" x14ac:dyDescent="0.3">
      <c r="A97" t="s">
        <v>27</v>
      </c>
      <c r="B97" t="s">
        <v>44</v>
      </c>
      <c r="C97" t="s">
        <v>45</v>
      </c>
      <c r="D97" t="s">
        <v>15</v>
      </c>
      <c r="E97" t="s">
        <v>33</v>
      </c>
      <c r="F97">
        <v>17344.16</v>
      </c>
      <c r="G97">
        <v>16252.49</v>
      </c>
      <c r="H97">
        <v>1091.67</v>
      </c>
      <c r="I97">
        <v>6.72</v>
      </c>
      <c r="J97">
        <v>16826.490000000002</v>
      </c>
      <c r="K97">
        <v>517.66999999999996</v>
      </c>
      <c r="L97">
        <v>103.08</v>
      </c>
    </row>
    <row r="98" spans="1:12" x14ac:dyDescent="0.3">
      <c r="A98" t="s">
        <v>12</v>
      </c>
      <c r="B98" t="s">
        <v>46</v>
      </c>
      <c r="C98" t="s">
        <v>47</v>
      </c>
      <c r="D98" t="s">
        <v>15</v>
      </c>
      <c r="E98" t="s">
        <v>36</v>
      </c>
      <c r="F98">
        <v>16642.36</v>
      </c>
      <c r="J98">
        <v>16082.47</v>
      </c>
      <c r="K98">
        <v>559.89</v>
      </c>
      <c r="L98">
        <v>103.48</v>
      </c>
    </row>
    <row r="99" spans="1:12" x14ac:dyDescent="0.3">
      <c r="A99" t="s">
        <v>17</v>
      </c>
      <c r="B99" t="s">
        <v>46</v>
      </c>
      <c r="C99" t="s">
        <v>47</v>
      </c>
      <c r="D99" t="s">
        <v>15</v>
      </c>
      <c r="E99" t="s">
        <v>36</v>
      </c>
      <c r="F99">
        <v>14052.11</v>
      </c>
      <c r="G99">
        <v>16642.36</v>
      </c>
      <c r="H99">
        <v>-2590.25</v>
      </c>
      <c r="I99">
        <v>-15.56</v>
      </c>
      <c r="J99">
        <v>13632.69</v>
      </c>
      <c r="K99">
        <v>419.42</v>
      </c>
      <c r="L99">
        <v>103.08</v>
      </c>
    </row>
    <row r="100" spans="1:12" x14ac:dyDescent="0.3">
      <c r="A100" t="s">
        <v>18</v>
      </c>
      <c r="B100" t="s">
        <v>46</v>
      </c>
      <c r="C100" t="s">
        <v>47</v>
      </c>
      <c r="D100" t="s">
        <v>15</v>
      </c>
      <c r="E100" t="s">
        <v>36</v>
      </c>
      <c r="F100">
        <v>15756.58</v>
      </c>
      <c r="G100">
        <v>14052.11</v>
      </c>
      <c r="H100">
        <v>1704.47</v>
      </c>
      <c r="I100">
        <v>12.13</v>
      </c>
      <c r="J100">
        <v>15232.85</v>
      </c>
      <c r="K100">
        <v>523.73</v>
      </c>
      <c r="L100">
        <v>103.44</v>
      </c>
    </row>
    <row r="101" spans="1:12" x14ac:dyDescent="0.3">
      <c r="A101" t="s">
        <v>19</v>
      </c>
      <c r="B101" t="s">
        <v>46</v>
      </c>
      <c r="C101" t="s">
        <v>47</v>
      </c>
      <c r="D101" t="s">
        <v>15</v>
      </c>
      <c r="E101" t="s">
        <v>36</v>
      </c>
      <c r="F101">
        <v>15526.28</v>
      </c>
      <c r="G101">
        <v>15756.58</v>
      </c>
      <c r="H101">
        <v>-230.3</v>
      </c>
      <c r="I101">
        <v>-1.46</v>
      </c>
      <c r="J101">
        <v>15721.78</v>
      </c>
      <c r="K101">
        <v>-195.5</v>
      </c>
      <c r="L101">
        <v>98.76</v>
      </c>
    </row>
    <row r="102" spans="1:12" x14ac:dyDescent="0.3">
      <c r="A102" t="s">
        <v>20</v>
      </c>
      <c r="B102" t="s">
        <v>46</v>
      </c>
      <c r="C102" t="s">
        <v>47</v>
      </c>
      <c r="D102" t="s">
        <v>15</v>
      </c>
      <c r="E102" t="s">
        <v>36</v>
      </c>
      <c r="F102">
        <v>15404.84</v>
      </c>
      <c r="G102">
        <v>15526.28</v>
      </c>
      <c r="H102">
        <v>-121.44</v>
      </c>
      <c r="I102">
        <v>-0.78</v>
      </c>
      <c r="J102">
        <v>15712.75</v>
      </c>
      <c r="K102">
        <v>-307.91000000000003</v>
      </c>
      <c r="L102">
        <v>98.04</v>
      </c>
    </row>
    <row r="103" spans="1:12" x14ac:dyDescent="0.3">
      <c r="A103" t="s">
        <v>21</v>
      </c>
      <c r="B103" t="s">
        <v>46</v>
      </c>
      <c r="C103" t="s">
        <v>47</v>
      </c>
      <c r="D103" t="s">
        <v>15</v>
      </c>
      <c r="E103" t="s">
        <v>36</v>
      </c>
      <c r="F103">
        <v>15199.57</v>
      </c>
      <c r="G103">
        <v>15404.84</v>
      </c>
      <c r="H103">
        <v>-205.27</v>
      </c>
      <c r="I103">
        <v>-1.33</v>
      </c>
      <c r="J103">
        <v>15878.74</v>
      </c>
      <c r="K103">
        <v>-679.17</v>
      </c>
      <c r="L103">
        <v>95.72</v>
      </c>
    </row>
    <row r="104" spans="1:12" x14ac:dyDescent="0.3">
      <c r="A104" t="s">
        <v>22</v>
      </c>
      <c r="B104" t="s">
        <v>46</v>
      </c>
      <c r="C104" t="s">
        <v>47</v>
      </c>
      <c r="D104" t="s">
        <v>15</v>
      </c>
      <c r="E104" t="s">
        <v>36</v>
      </c>
      <c r="F104">
        <v>15500.25</v>
      </c>
      <c r="G104">
        <v>15199.57</v>
      </c>
      <c r="H104">
        <v>300.68</v>
      </c>
      <c r="I104">
        <v>1.98</v>
      </c>
      <c r="J104">
        <v>15619.91</v>
      </c>
      <c r="K104">
        <v>-119.66</v>
      </c>
      <c r="L104">
        <v>99.23</v>
      </c>
    </row>
    <row r="105" spans="1:12" x14ac:dyDescent="0.3">
      <c r="A105" t="s">
        <v>23</v>
      </c>
      <c r="B105" t="s">
        <v>46</v>
      </c>
      <c r="C105" t="s">
        <v>47</v>
      </c>
      <c r="D105" t="s">
        <v>15</v>
      </c>
      <c r="E105" t="s">
        <v>36</v>
      </c>
      <c r="F105">
        <v>16983.18</v>
      </c>
      <c r="G105">
        <v>15500.25</v>
      </c>
      <c r="H105">
        <v>1482.93</v>
      </c>
      <c r="I105">
        <v>9.57</v>
      </c>
      <c r="J105">
        <v>17892.71</v>
      </c>
      <c r="K105">
        <v>-909.53</v>
      </c>
      <c r="L105">
        <v>94.92</v>
      </c>
    </row>
    <row r="106" spans="1:12" x14ac:dyDescent="0.3">
      <c r="A106" t="s">
        <v>24</v>
      </c>
      <c r="B106" t="s">
        <v>46</v>
      </c>
      <c r="C106" t="s">
        <v>47</v>
      </c>
      <c r="D106" t="s">
        <v>15</v>
      </c>
      <c r="E106" t="s">
        <v>36</v>
      </c>
      <c r="F106">
        <v>15011.15</v>
      </c>
      <c r="G106">
        <v>16983.18</v>
      </c>
      <c r="H106">
        <v>-1972.03</v>
      </c>
      <c r="I106">
        <v>-11.61</v>
      </c>
      <c r="J106">
        <v>14233.77</v>
      </c>
      <c r="K106">
        <v>777.38</v>
      </c>
      <c r="L106">
        <v>105.46</v>
      </c>
    </row>
    <row r="107" spans="1:12" x14ac:dyDescent="0.3">
      <c r="A107" t="s">
        <v>25</v>
      </c>
      <c r="B107" t="s">
        <v>46</v>
      </c>
      <c r="C107" t="s">
        <v>47</v>
      </c>
      <c r="D107" t="s">
        <v>15</v>
      </c>
      <c r="E107" t="s">
        <v>36</v>
      </c>
      <c r="F107">
        <v>14962.8</v>
      </c>
      <c r="G107">
        <v>15011.15</v>
      </c>
      <c r="H107">
        <v>-48.35</v>
      </c>
      <c r="I107">
        <v>-0.32</v>
      </c>
      <c r="J107">
        <v>14459.42</v>
      </c>
      <c r="K107">
        <v>503.38</v>
      </c>
      <c r="L107">
        <v>103.48</v>
      </c>
    </row>
    <row r="108" spans="1:12" x14ac:dyDescent="0.3">
      <c r="A108" t="s">
        <v>26</v>
      </c>
      <c r="B108" t="s">
        <v>46</v>
      </c>
      <c r="C108" t="s">
        <v>47</v>
      </c>
      <c r="D108" t="s">
        <v>15</v>
      </c>
      <c r="E108" t="s">
        <v>36</v>
      </c>
      <c r="F108">
        <v>15247.55</v>
      </c>
      <c r="G108">
        <v>14962.8</v>
      </c>
      <c r="H108">
        <v>284.75</v>
      </c>
      <c r="I108">
        <v>1.9</v>
      </c>
      <c r="J108">
        <v>14792.45</v>
      </c>
      <c r="K108">
        <v>455.1</v>
      </c>
      <c r="L108">
        <v>103.08</v>
      </c>
    </row>
    <row r="109" spans="1:12" x14ac:dyDescent="0.3">
      <c r="A109" t="s">
        <v>27</v>
      </c>
      <c r="B109" t="s">
        <v>46</v>
      </c>
      <c r="C109" t="s">
        <v>47</v>
      </c>
      <c r="D109" t="s">
        <v>15</v>
      </c>
      <c r="E109" t="s">
        <v>36</v>
      </c>
      <c r="F109">
        <v>15542.38</v>
      </c>
      <c r="G109">
        <v>15247.55</v>
      </c>
      <c r="H109">
        <v>294.83</v>
      </c>
      <c r="I109">
        <v>1.93</v>
      </c>
      <c r="J109">
        <v>15025.77</v>
      </c>
      <c r="K109">
        <v>516.61</v>
      </c>
      <c r="L109">
        <v>103.44</v>
      </c>
    </row>
    <row r="110" spans="1:12" x14ac:dyDescent="0.3">
      <c r="A110" t="s">
        <v>12</v>
      </c>
      <c r="B110" t="s">
        <v>48</v>
      </c>
      <c r="C110" t="s">
        <v>49</v>
      </c>
      <c r="D110" t="s">
        <v>15</v>
      </c>
      <c r="E110" t="s">
        <v>39</v>
      </c>
      <c r="F110">
        <v>15440.21</v>
      </c>
      <c r="J110">
        <v>16299.72</v>
      </c>
      <c r="K110">
        <v>-859.51</v>
      </c>
      <c r="L110">
        <v>94.73</v>
      </c>
    </row>
    <row r="111" spans="1:12" x14ac:dyDescent="0.3">
      <c r="A111" t="s">
        <v>17</v>
      </c>
      <c r="B111" t="s">
        <v>48</v>
      </c>
      <c r="C111" t="s">
        <v>49</v>
      </c>
      <c r="D111" t="s">
        <v>15</v>
      </c>
      <c r="E111" t="s">
        <v>39</v>
      </c>
      <c r="F111">
        <v>14699.79</v>
      </c>
      <c r="G111">
        <v>15440.21</v>
      </c>
      <c r="H111">
        <v>-740.42</v>
      </c>
      <c r="I111">
        <v>-4.8</v>
      </c>
      <c r="J111">
        <v>15305.03</v>
      </c>
      <c r="K111">
        <v>-605.24</v>
      </c>
      <c r="L111">
        <v>96.05</v>
      </c>
    </row>
    <row r="112" spans="1:12" x14ac:dyDescent="0.3">
      <c r="A112" t="s">
        <v>18</v>
      </c>
      <c r="B112" t="s">
        <v>48</v>
      </c>
      <c r="C112" t="s">
        <v>49</v>
      </c>
      <c r="D112" t="s">
        <v>15</v>
      </c>
      <c r="E112" t="s">
        <v>39</v>
      </c>
      <c r="F112">
        <v>16929.82</v>
      </c>
      <c r="G112">
        <v>14699.79</v>
      </c>
      <c r="H112">
        <v>2230.0300000000002</v>
      </c>
      <c r="I112">
        <v>15.17</v>
      </c>
      <c r="J112">
        <v>17306.78</v>
      </c>
      <c r="K112">
        <v>-376.96</v>
      </c>
      <c r="L112">
        <v>97.82</v>
      </c>
    </row>
    <row r="113" spans="1:12" x14ac:dyDescent="0.3">
      <c r="A113" t="s">
        <v>19</v>
      </c>
      <c r="B113" t="s">
        <v>48</v>
      </c>
      <c r="C113" t="s">
        <v>49</v>
      </c>
      <c r="D113" t="s">
        <v>15</v>
      </c>
      <c r="E113" t="s">
        <v>39</v>
      </c>
      <c r="F113">
        <v>15224.9</v>
      </c>
      <c r="G113">
        <v>16929.82</v>
      </c>
      <c r="H113">
        <v>-1704.92</v>
      </c>
      <c r="I113">
        <v>-10.07</v>
      </c>
      <c r="J113">
        <v>15290.69</v>
      </c>
      <c r="K113">
        <v>-65.790000000000006</v>
      </c>
      <c r="L113">
        <v>99.57</v>
      </c>
    </row>
    <row r="114" spans="1:12" x14ac:dyDescent="0.3">
      <c r="A114" t="s">
        <v>20</v>
      </c>
      <c r="B114" t="s">
        <v>48</v>
      </c>
      <c r="C114" t="s">
        <v>49</v>
      </c>
      <c r="D114" t="s">
        <v>15</v>
      </c>
      <c r="E114" t="s">
        <v>39</v>
      </c>
      <c r="F114">
        <v>15237.4</v>
      </c>
      <c r="G114">
        <v>15224.9</v>
      </c>
      <c r="H114">
        <v>12.5</v>
      </c>
      <c r="I114">
        <v>0.08</v>
      </c>
      <c r="J114">
        <v>14894.64</v>
      </c>
      <c r="K114">
        <v>342.76</v>
      </c>
      <c r="L114">
        <v>102.3</v>
      </c>
    </row>
    <row r="115" spans="1:12" x14ac:dyDescent="0.3">
      <c r="A115" t="s">
        <v>21</v>
      </c>
      <c r="B115" t="s">
        <v>48</v>
      </c>
      <c r="C115" t="s">
        <v>49</v>
      </c>
      <c r="D115" t="s">
        <v>15</v>
      </c>
      <c r="E115" t="s">
        <v>39</v>
      </c>
      <c r="F115">
        <v>15986.97</v>
      </c>
      <c r="G115">
        <v>15237.4</v>
      </c>
      <c r="H115">
        <v>749.57</v>
      </c>
      <c r="I115">
        <v>4.92</v>
      </c>
      <c r="J115">
        <v>15516.22</v>
      </c>
      <c r="K115">
        <v>470.75</v>
      </c>
      <c r="L115">
        <v>103.03</v>
      </c>
    </row>
    <row r="116" spans="1:12" x14ac:dyDescent="0.3">
      <c r="A116" t="s">
        <v>22</v>
      </c>
      <c r="B116" t="s">
        <v>48</v>
      </c>
      <c r="C116" t="s">
        <v>49</v>
      </c>
      <c r="D116" t="s">
        <v>15</v>
      </c>
      <c r="E116" t="s">
        <v>39</v>
      </c>
      <c r="F116">
        <v>15166.48</v>
      </c>
      <c r="G116">
        <v>15986.97</v>
      </c>
      <c r="H116">
        <v>-820.49</v>
      </c>
      <c r="I116">
        <v>-5.13</v>
      </c>
      <c r="J116">
        <v>15713.37</v>
      </c>
      <c r="K116">
        <v>-546.89</v>
      </c>
      <c r="L116">
        <v>96.52</v>
      </c>
    </row>
    <row r="117" spans="1:12" x14ac:dyDescent="0.3">
      <c r="A117" t="s">
        <v>23</v>
      </c>
      <c r="B117" t="s">
        <v>48</v>
      </c>
      <c r="C117" t="s">
        <v>49</v>
      </c>
      <c r="D117" t="s">
        <v>15</v>
      </c>
      <c r="E117" t="s">
        <v>39</v>
      </c>
      <c r="F117">
        <v>14725.58</v>
      </c>
      <c r="G117">
        <v>15166.48</v>
      </c>
      <c r="H117">
        <v>-440.9</v>
      </c>
      <c r="I117">
        <v>-2.91</v>
      </c>
      <c r="J117">
        <v>13887.83</v>
      </c>
      <c r="K117">
        <v>837.75</v>
      </c>
      <c r="L117">
        <v>106.03</v>
      </c>
    </row>
    <row r="118" spans="1:12" x14ac:dyDescent="0.3">
      <c r="A118" t="s">
        <v>24</v>
      </c>
      <c r="B118" t="s">
        <v>48</v>
      </c>
      <c r="C118" t="s">
        <v>49</v>
      </c>
      <c r="D118" t="s">
        <v>15</v>
      </c>
      <c r="E118" t="s">
        <v>39</v>
      </c>
      <c r="F118">
        <v>13584.96</v>
      </c>
      <c r="G118">
        <v>14725.58</v>
      </c>
      <c r="H118">
        <v>-1140.6199999999999</v>
      </c>
      <c r="I118">
        <v>-7.75</v>
      </c>
      <c r="J118">
        <v>13127.93</v>
      </c>
      <c r="K118">
        <v>457.03</v>
      </c>
      <c r="L118">
        <v>103.48</v>
      </c>
    </row>
    <row r="119" spans="1:12" x14ac:dyDescent="0.3">
      <c r="A119" t="s">
        <v>25</v>
      </c>
      <c r="B119" t="s">
        <v>48</v>
      </c>
      <c r="C119" t="s">
        <v>49</v>
      </c>
      <c r="D119" t="s">
        <v>15</v>
      </c>
      <c r="E119" t="s">
        <v>39</v>
      </c>
      <c r="F119">
        <v>16928.82</v>
      </c>
      <c r="G119">
        <v>13584.96</v>
      </c>
      <c r="H119">
        <v>3343.86</v>
      </c>
      <c r="I119">
        <v>24.61</v>
      </c>
      <c r="J119">
        <v>17871.2</v>
      </c>
      <c r="K119">
        <v>-942.38</v>
      </c>
      <c r="L119">
        <v>94.73</v>
      </c>
    </row>
    <row r="120" spans="1:12" x14ac:dyDescent="0.3">
      <c r="A120" t="s">
        <v>26</v>
      </c>
      <c r="B120" t="s">
        <v>48</v>
      </c>
      <c r="C120" t="s">
        <v>49</v>
      </c>
      <c r="D120" t="s">
        <v>15</v>
      </c>
      <c r="E120" t="s">
        <v>39</v>
      </c>
      <c r="F120">
        <v>17505.150000000001</v>
      </c>
      <c r="G120">
        <v>16928.82</v>
      </c>
      <c r="H120">
        <v>576.33000000000004</v>
      </c>
      <c r="I120">
        <v>3.4</v>
      </c>
      <c r="J120">
        <v>18225.900000000001</v>
      </c>
      <c r="K120">
        <v>-720.75</v>
      </c>
      <c r="L120">
        <v>96.05</v>
      </c>
    </row>
    <row r="121" spans="1:12" x14ac:dyDescent="0.3">
      <c r="A121" t="s">
        <v>27</v>
      </c>
      <c r="B121" t="s">
        <v>48</v>
      </c>
      <c r="C121" t="s">
        <v>49</v>
      </c>
      <c r="D121" t="s">
        <v>15</v>
      </c>
      <c r="E121" t="s">
        <v>39</v>
      </c>
      <c r="F121">
        <v>17475.84</v>
      </c>
      <c r="G121">
        <v>17505.150000000001</v>
      </c>
      <c r="H121">
        <v>-29.31</v>
      </c>
      <c r="I121">
        <v>-0.17</v>
      </c>
      <c r="J121">
        <v>17864.96</v>
      </c>
      <c r="K121">
        <v>-389.12</v>
      </c>
      <c r="L121">
        <v>97.82</v>
      </c>
    </row>
    <row r="122" spans="1:12" x14ac:dyDescent="0.3">
      <c r="A122" t="s">
        <v>12</v>
      </c>
      <c r="B122" t="s">
        <v>50</v>
      </c>
      <c r="C122" t="s">
        <v>51</v>
      </c>
      <c r="D122" t="s">
        <v>15</v>
      </c>
      <c r="E122" t="s">
        <v>16</v>
      </c>
      <c r="F122">
        <v>14080.02</v>
      </c>
      <c r="J122">
        <v>14659.74</v>
      </c>
      <c r="K122">
        <v>-579.72</v>
      </c>
      <c r="L122">
        <v>96.05</v>
      </c>
    </row>
    <row r="123" spans="1:12" x14ac:dyDescent="0.3">
      <c r="A123" t="s">
        <v>17</v>
      </c>
      <c r="B123" t="s">
        <v>50</v>
      </c>
      <c r="C123" t="s">
        <v>51</v>
      </c>
      <c r="D123" t="s">
        <v>15</v>
      </c>
      <c r="E123" t="s">
        <v>16</v>
      </c>
      <c r="F123">
        <v>14269.26</v>
      </c>
      <c r="G123">
        <v>14080.02</v>
      </c>
      <c r="H123">
        <v>189.24</v>
      </c>
      <c r="I123">
        <v>1.34</v>
      </c>
      <c r="J123">
        <v>14586.98</v>
      </c>
      <c r="K123">
        <v>-317.72000000000003</v>
      </c>
      <c r="L123">
        <v>97.82</v>
      </c>
    </row>
    <row r="124" spans="1:12" x14ac:dyDescent="0.3">
      <c r="A124" t="s">
        <v>18</v>
      </c>
      <c r="B124" t="s">
        <v>50</v>
      </c>
      <c r="C124" t="s">
        <v>51</v>
      </c>
      <c r="D124" t="s">
        <v>15</v>
      </c>
      <c r="E124" t="s">
        <v>16</v>
      </c>
      <c r="F124">
        <v>19065.09</v>
      </c>
      <c r="G124">
        <v>14269.26</v>
      </c>
      <c r="H124">
        <v>4795.83</v>
      </c>
      <c r="I124">
        <v>33.61</v>
      </c>
      <c r="J124">
        <v>19147.47</v>
      </c>
      <c r="K124">
        <v>-82.38</v>
      </c>
      <c r="L124">
        <v>99.57</v>
      </c>
    </row>
    <row r="125" spans="1:12" x14ac:dyDescent="0.3">
      <c r="A125" t="s">
        <v>19</v>
      </c>
      <c r="B125" t="s">
        <v>50</v>
      </c>
      <c r="C125" t="s">
        <v>51</v>
      </c>
      <c r="D125" t="s">
        <v>15</v>
      </c>
      <c r="E125" t="s">
        <v>16</v>
      </c>
      <c r="F125">
        <v>15999.32</v>
      </c>
      <c r="G125">
        <v>19065.09</v>
      </c>
      <c r="H125">
        <v>-3065.77</v>
      </c>
      <c r="I125">
        <v>-16.079999999999998</v>
      </c>
      <c r="J125">
        <v>15639.42</v>
      </c>
      <c r="K125">
        <v>359.9</v>
      </c>
      <c r="L125">
        <v>102.3</v>
      </c>
    </row>
    <row r="126" spans="1:12" x14ac:dyDescent="0.3">
      <c r="A126" t="s">
        <v>20</v>
      </c>
      <c r="B126" t="s">
        <v>50</v>
      </c>
      <c r="C126" t="s">
        <v>51</v>
      </c>
      <c r="D126" t="s">
        <v>15</v>
      </c>
      <c r="E126" t="s">
        <v>16</v>
      </c>
      <c r="F126">
        <v>16608.3</v>
      </c>
      <c r="G126">
        <v>15999.32</v>
      </c>
      <c r="H126">
        <v>608.98</v>
      </c>
      <c r="I126">
        <v>3.81</v>
      </c>
      <c r="J126">
        <v>16119.25</v>
      </c>
      <c r="K126">
        <v>489.05</v>
      </c>
      <c r="L126">
        <v>103.03</v>
      </c>
    </row>
    <row r="127" spans="1:12" x14ac:dyDescent="0.3">
      <c r="A127" t="s">
        <v>21</v>
      </c>
      <c r="B127" t="s">
        <v>50</v>
      </c>
      <c r="C127" t="s">
        <v>51</v>
      </c>
      <c r="D127" t="s">
        <v>15</v>
      </c>
      <c r="E127" t="s">
        <v>16</v>
      </c>
      <c r="F127">
        <v>14941.61</v>
      </c>
      <c r="G127">
        <v>16608.3</v>
      </c>
      <c r="H127">
        <v>-1666.69</v>
      </c>
      <c r="I127">
        <v>-10.039999999999999</v>
      </c>
      <c r="J127">
        <v>15480.39</v>
      </c>
      <c r="K127">
        <v>-538.78</v>
      </c>
      <c r="L127">
        <v>96.52</v>
      </c>
    </row>
    <row r="128" spans="1:12" x14ac:dyDescent="0.3">
      <c r="A128" t="s">
        <v>22</v>
      </c>
      <c r="B128" t="s">
        <v>50</v>
      </c>
      <c r="C128" t="s">
        <v>51</v>
      </c>
      <c r="D128" t="s">
        <v>15</v>
      </c>
      <c r="E128" t="s">
        <v>16</v>
      </c>
      <c r="F128">
        <v>14811.07</v>
      </c>
      <c r="G128">
        <v>14941.61</v>
      </c>
      <c r="H128">
        <v>-130.54</v>
      </c>
      <c r="I128">
        <v>-0.87</v>
      </c>
      <c r="J128">
        <v>13968.46</v>
      </c>
      <c r="K128">
        <v>842.61</v>
      </c>
      <c r="L128">
        <v>106.03</v>
      </c>
    </row>
    <row r="129" spans="1:12" x14ac:dyDescent="0.3">
      <c r="A129" t="s">
        <v>23</v>
      </c>
      <c r="B129" t="s">
        <v>50</v>
      </c>
      <c r="C129" t="s">
        <v>51</v>
      </c>
      <c r="D129" t="s">
        <v>15</v>
      </c>
      <c r="E129" t="s">
        <v>16</v>
      </c>
      <c r="F129">
        <v>16027.79</v>
      </c>
      <c r="G129">
        <v>14811.07</v>
      </c>
      <c r="H129">
        <v>1216.72</v>
      </c>
      <c r="I129">
        <v>8.2100000000000009</v>
      </c>
      <c r="J129">
        <v>15488.58</v>
      </c>
      <c r="K129">
        <v>539.21</v>
      </c>
      <c r="L129">
        <v>103.48</v>
      </c>
    </row>
    <row r="130" spans="1:12" x14ac:dyDescent="0.3">
      <c r="A130" t="s">
        <v>24</v>
      </c>
      <c r="B130" t="s">
        <v>50</v>
      </c>
      <c r="C130" t="s">
        <v>51</v>
      </c>
      <c r="D130" t="s">
        <v>15</v>
      </c>
      <c r="E130" t="s">
        <v>16</v>
      </c>
      <c r="F130">
        <v>15716.63</v>
      </c>
      <c r="G130">
        <v>16027.79</v>
      </c>
      <c r="H130">
        <v>-311.16000000000003</v>
      </c>
      <c r="I130">
        <v>-1.94</v>
      </c>
      <c r="J130">
        <v>15247.53</v>
      </c>
      <c r="K130">
        <v>469.1</v>
      </c>
      <c r="L130">
        <v>103.08</v>
      </c>
    </row>
    <row r="131" spans="1:12" x14ac:dyDescent="0.3">
      <c r="A131" t="s">
        <v>25</v>
      </c>
      <c r="B131" t="s">
        <v>50</v>
      </c>
      <c r="C131" t="s">
        <v>51</v>
      </c>
      <c r="D131" t="s">
        <v>15</v>
      </c>
      <c r="E131" t="s">
        <v>16</v>
      </c>
      <c r="F131">
        <v>16789.990000000002</v>
      </c>
      <c r="G131">
        <v>15716.63</v>
      </c>
      <c r="H131">
        <v>1073.3599999999999</v>
      </c>
      <c r="I131">
        <v>6.83</v>
      </c>
      <c r="J131">
        <v>17481.29</v>
      </c>
      <c r="K131">
        <v>-691.3</v>
      </c>
      <c r="L131">
        <v>96.05</v>
      </c>
    </row>
    <row r="132" spans="1:12" x14ac:dyDescent="0.3">
      <c r="A132" t="s">
        <v>26</v>
      </c>
      <c r="B132" t="s">
        <v>50</v>
      </c>
      <c r="C132" t="s">
        <v>51</v>
      </c>
      <c r="D132" t="s">
        <v>15</v>
      </c>
      <c r="E132" t="s">
        <v>16</v>
      </c>
      <c r="F132">
        <v>15185.2</v>
      </c>
      <c r="G132">
        <v>16789.990000000002</v>
      </c>
      <c r="H132">
        <v>-1604.79</v>
      </c>
      <c r="I132">
        <v>-9.56</v>
      </c>
      <c r="J132">
        <v>15523.32</v>
      </c>
      <c r="K132">
        <v>-338.12</v>
      </c>
      <c r="L132">
        <v>97.82</v>
      </c>
    </row>
    <row r="133" spans="1:12" x14ac:dyDescent="0.3">
      <c r="A133" t="s">
        <v>27</v>
      </c>
      <c r="B133" t="s">
        <v>50</v>
      </c>
      <c r="C133" t="s">
        <v>51</v>
      </c>
      <c r="D133" t="s">
        <v>15</v>
      </c>
      <c r="E133" t="s">
        <v>16</v>
      </c>
      <c r="F133">
        <v>17409.310000000001</v>
      </c>
      <c r="G133">
        <v>15185.2</v>
      </c>
      <c r="H133">
        <v>2224.11</v>
      </c>
      <c r="I133">
        <v>14.65</v>
      </c>
      <c r="J133">
        <v>17484.54</v>
      </c>
      <c r="K133">
        <v>-75.23</v>
      </c>
      <c r="L133">
        <v>99.57</v>
      </c>
    </row>
    <row r="134" spans="1:12" x14ac:dyDescent="0.3">
      <c r="A134" t="s">
        <v>12</v>
      </c>
      <c r="B134" t="s">
        <v>52</v>
      </c>
      <c r="C134" t="s">
        <v>53</v>
      </c>
      <c r="D134" t="s">
        <v>15</v>
      </c>
      <c r="E134" t="s">
        <v>30</v>
      </c>
      <c r="F134">
        <v>13725.55</v>
      </c>
      <c r="J134">
        <v>14031.17</v>
      </c>
      <c r="K134">
        <v>-305.62</v>
      </c>
      <c r="L134">
        <v>97.82</v>
      </c>
    </row>
    <row r="135" spans="1:12" x14ac:dyDescent="0.3">
      <c r="A135" t="s">
        <v>17</v>
      </c>
      <c r="B135" t="s">
        <v>52</v>
      </c>
      <c r="C135" t="s">
        <v>53</v>
      </c>
      <c r="D135" t="s">
        <v>15</v>
      </c>
      <c r="E135" t="s">
        <v>30</v>
      </c>
      <c r="F135">
        <v>15141.9</v>
      </c>
      <c r="G135">
        <v>13725.55</v>
      </c>
      <c r="H135">
        <v>1416.35</v>
      </c>
      <c r="I135">
        <v>10.32</v>
      </c>
      <c r="J135">
        <v>15207.33</v>
      </c>
      <c r="K135">
        <v>-65.430000000000007</v>
      </c>
      <c r="L135">
        <v>99.57</v>
      </c>
    </row>
    <row r="136" spans="1:12" x14ac:dyDescent="0.3">
      <c r="A136" t="s">
        <v>18</v>
      </c>
      <c r="B136" t="s">
        <v>52</v>
      </c>
      <c r="C136" t="s">
        <v>53</v>
      </c>
      <c r="D136" t="s">
        <v>15</v>
      </c>
      <c r="E136" t="s">
        <v>30</v>
      </c>
      <c r="F136">
        <v>16842.87</v>
      </c>
      <c r="G136">
        <v>15141.9</v>
      </c>
      <c r="H136">
        <v>1700.97</v>
      </c>
      <c r="I136">
        <v>11.23</v>
      </c>
      <c r="J136">
        <v>16464</v>
      </c>
      <c r="K136">
        <v>378.87</v>
      </c>
      <c r="L136">
        <v>102.3</v>
      </c>
    </row>
    <row r="137" spans="1:12" x14ac:dyDescent="0.3">
      <c r="A137" t="s">
        <v>19</v>
      </c>
      <c r="B137" t="s">
        <v>52</v>
      </c>
      <c r="C137" t="s">
        <v>53</v>
      </c>
      <c r="D137" t="s">
        <v>15</v>
      </c>
      <c r="E137" t="s">
        <v>30</v>
      </c>
      <c r="F137">
        <v>14575.51</v>
      </c>
      <c r="G137">
        <v>16842.87</v>
      </c>
      <c r="H137">
        <v>-2267.36</v>
      </c>
      <c r="I137">
        <v>-13.46</v>
      </c>
      <c r="J137">
        <v>14146.32</v>
      </c>
      <c r="K137">
        <v>429.19</v>
      </c>
      <c r="L137">
        <v>103.03</v>
      </c>
    </row>
    <row r="138" spans="1:12" x14ac:dyDescent="0.3">
      <c r="A138" t="s">
        <v>20</v>
      </c>
      <c r="B138" t="s">
        <v>52</v>
      </c>
      <c r="C138" t="s">
        <v>53</v>
      </c>
      <c r="D138" t="s">
        <v>15</v>
      </c>
      <c r="E138" t="s">
        <v>30</v>
      </c>
      <c r="F138">
        <v>17634.34</v>
      </c>
      <c r="G138">
        <v>14575.51</v>
      </c>
      <c r="H138">
        <v>3058.83</v>
      </c>
      <c r="I138">
        <v>20.99</v>
      </c>
      <c r="J138">
        <v>18270.22</v>
      </c>
      <c r="K138">
        <v>-635.88</v>
      </c>
      <c r="L138">
        <v>96.52</v>
      </c>
    </row>
    <row r="139" spans="1:12" x14ac:dyDescent="0.3">
      <c r="A139" t="s">
        <v>21</v>
      </c>
      <c r="B139" t="s">
        <v>52</v>
      </c>
      <c r="C139" t="s">
        <v>53</v>
      </c>
      <c r="D139" t="s">
        <v>15</v>
      </c>
      <c r="E139" t="s">
        <v>30</v>
      </c>
      <c r="F139">
        <v>14037.69</v>
      </c>
      <c r="G139">
        <v>17634.34</v>
      </c>
      <c r="H139">
        <v>-3596.65</v>
      </c>
      <c r="I139">
        <v>-20.399999999999999</v>
      </c>
      <c r="J139">
        <v>13239.08</v>
      </c>
      <c r="K139">
        <v>798.61</v>
      </c>
      <c r="L139">
        <v>106.03</v>
      </c>
    </row>
    <row r="140" spans="1:12" x14ac:dyDescent="0.3">
      <c r="A140" t="s">
        <v>22</v>
      </c>
      <c r="B140" t="s">
        <v>52</v>
      </c>
      <c r="C140" t="s">
        <v>53</v>
      </c>
      <c r="D140" t="s">
        <v>15</v>
      </c>
      <c r="E140" t="s">
        <v>30</v>
      </c>
      <c r="F140">
        <v>17636.580000000002</v>
      </c>
      <c r="G140">
        <v>14037.69</v>
      </c>
      <c r="H140">
        <v>3598.89</v>
      </c>
      <c r="I140">
        <v>25.64</v>
      </c>
      <c r="J140">
        <v>17043.240000000002</v>
      </c>
      <c r="K140">
        <v>593.34</v>
      </c>
      <c r="L140">
        <v>103.48</v>
      </c>
    </row>
    <row r="141" spans="1:12" x14ac:dyDescent="0.3">
      <c r="A141" t="s">
        <v>23</v>
      </c>
      <c r="B141" t="s">
        <v>52</v>
      </c>
      <c r="C141" t="s">
        <v>53</v>
      </c>
      <c r="D141" t="s">
        <v>15</v>
      </c>
      <c r="E141" t="s">
        <v>30</v>
      </c>
      <c r="F141">
        <v>17044.38</v>
      </c>
      <c r="G141">
        <v>17636.580000000002</v>
      </c>
      <c r="H141">
        <v>-592.20000000000005</v>
      </c>
      <c r="I141">
        <v>-3.36</v>
      </c>
      <c r="J141">
        <v>16535.650000000001</v>
      </c>
      <c r="K141">
        <v>508.73</v>
      </c>
      <c r="L141">
        <v>103.08</v>
      </c>
    </row>
    <row r="142" spans="1:12" x14ac:dyDescent="0.3">
      <c r="A142" t="s">
        <v>24</v>
      </c>
      <c r="B142" t="s">
        <v>52</v>
      </c>
      <c r="C142" t="s">
        <v>53</v>
      </c>
      <c r="D142" t="s">
        <v>15</v>
      </c>
      <c r="E142" t="s">
        <v>30</v>
      </c>
      <c r="F142">
        <v>14623.13</v>
      </c>
      <c r="G142">
        <v>17044.38</v>
      </c>
      <c r="H142">
        <v>-2421.25</v>
      </c>
      <c r="I142">
        <v>-14.21</v>
      </c>
      <c r="J142">
        <v>14137.08</v>
      </c>
      <c r="K142">
        <v>486.05</v>
      </c>
      <c r="L142">
        <v>103.44</v>
      </c>
    </row>
    <row r="143" spans="1:12" x14ac:dyDescent="0.3">
      <c r="A143" t="s">
        <v>25</v>
      </c>
      <c r="B143" t="s">
        <v>52</v>
      </c>
      <c r="C143" t="s">
        <v>53</v>
      </c>
      <c r="D143" t="s">
        <v>15</v>
      </c>
      <c r="E143" t="s">
        <v>30</v>
      </c>
      <c r="F143">
        <v>15606.1</v>
      </c>
      <c r="G143">
        <v>14623.13</v>
      </c>
      <c r="H143">
        <v>982.97</v>
      </c>
      <c r="I143">
        <v>6.72</v>
      </c>
      <c r="J143">
        <v>15953.59</v>
      </c>
      <c r="K143">
        <v>-347.49</v>
      </c>
      <c r="L143">
        <v>97.82</v>
      </c>
    </row>
    <row r="144" spans="1:12" x14ac:dyDescent="0.3">
      <c r="A144" t="s">
        <v>26</v>
      </c>
      <c r="B144" t="s">
        <v>52</v>
      </c>
      <c r="C144" t="s">
        <v>53</v>
      </c>
      <c r="D144" t="s">
        <v>15</v>
      </c>
      <c r="E144" t="s">
        <v>30</v>
      </c>
      <c r="F144">
        <v>16307.26</v>
      </c>
      <c r="G144">
        <v>15606.1</v>
      </c>
      <c r="H144">
        <v>701.16</v>
      </c>
      <c r="I144">
        <v>4.49</v>
      </c>
      <c r="J144">
        <v>16377.72</v>
      </c>
      <c r="K144">
        <v>-70.459999999999994</v>
      </c>
      <c r="L144">
        <v>99.57</v>
      </c>
    </row>
    <row r="145" spans="1:12" x14ac:dyDescent="0.3">
      <c r="A145" t="s">
        <v>27</v>
      </c>
      <c r="B145" t="s">
        <v>52</v>
      </c>
      <c r="C145" t="s">
        <v>53</v>
      </c>
      <c r="D145" t="s">
        <v>15</v>
      </c>
      <c r="E145" t="s">
        <v>30</v>
      </c>
      <c r="F145">
        <v>16480.810000000001</v>
      </c>
      <c r="G145">
        <v>16307.26</v>
      </c>
      <c r="H145">
        <v>173.55</v>
      </c>
      <c r="I145">
        <v>1.06</v>
      </c>
      <c r="J145">
        <v>16110.08</v>
      </c>
      <c r="K145">
        <v>370.73</v>
      </c>
      <c r="L145">
        <v>102.3</v>
      </c>
    </row>
    <row r="146" spans="1:12" x14ac:dyDescent="0.3">
      <c r="A146" t="s">
        <v>12</v>
      </c>
      <c r="B146" t="s">
        <v>54</v>
      </c>
      <c r="C146" t="s">
        <v>55</v>
      </c>
      <c r="D146" t="s">
        <v>15</v>
      </c>
      <c r="E146" t="s">
        <v>33</v>
      </c>
      <c r="F146">
        <v>14690.56</v>
      </c>
      <c r="J146">
        <v>14754.04</v>
      </c>
      <c r="K146">
        <v>-63.48</v>
      </c>
      <c r="L146">
        <v>99.57</v>
      </c>
    </row>
    <row r="147" spans="1:12" x14ac:dyDescent="0.3">
      <c r="A147" t="s">
        <v>17</v>
      </c>
      <c r="B147" t="s">
        <v>54</v>
      </c>
      <c r="C147" t="s">
        <v>55</v>
      </c>
      <c r="D147" t="s">
        <v>15</v>
      </c>
      <c r="E147" t="s">
        <v>33</v>
      </c>
      <c r="F147">
        <v>13587.89</v>
      </c>
      <c r="G147">
        <v>14690.56</v>
      </c>
      <c r="H147">
        <v>-1102.67</v>
      </c>
      <c r="I147">
        <v>-7.51</v>
      </c>
      <c r="J147">
        <v>13282.23</v>
      </c>
      <c r="K147">
        <v>305.66000000000003</v>
      </c>
      <c r="L147">
        <v>102.3</v>
      </c>
    </row>
    <row r="148" spans="1:12" x14ac:dyDescent="0.3">
      <c r="A148" t="s">
        <v>18</v>
      </c>
      <c r="B148" t="s">
        <v>54</v>
      </c>
      <c r="C148" t="s">
        <v>55</v>
      </c>
      <c r="D148" t="s">
        <v>15</v>
      </c>
      <c r="E148" t="s">
        <v>33</v>
      </c>
      <c r="F148">
        <v>16163.18</v>
      </c>
      <c r="G148">
        <v>13587.89</v>
      </c>
      <c r="H148">
        <v>2575.29</v>
      </c>
      <c r="I148">
        <v>18.95</v>
      </c>
      <c r="J148">
        <v>15687.24</v>
      </c>
      <c r="K148">
        <v>475.94</v>
      </c>
      <c r="L148">
        <v>103.03</v>
      </c>
    </row>
    <row r="149" spans="1:12" x14ac:dyDescent="0.3">
      <c r="A149" t="s">
        <v>19</v>
      </c>
      <c r="B149" t="s">
        <v>54</v>
      </c>
      <c r="C149" t="s">
        <v>55</v>
      </c>
      <c r="D149" t="s">
        <v>15</v>
      </c>
      <c r="E149" t="s">
        <v>33</v>
      </c>
      <c r="F149">
        <v>15927.11</v>
      </c>
      <c r="G149">
        <v>16163.18</v>
      </c>
      <c r="H149">
        <v>-236.07</v>
      </c>
      <c r="I149">
        <v>-1.46</v>
      </c>
      <c r="J149">
        <v>16501.43</v>
      </c>
      <c r="K149">
        <v>-574.32000000000005</v>
      </c>
      <c r="L149">
        <v>96.52</v>
      </c>
    </row>
    <row r="150" spans="1:12" x14ac:dyDescent="0.3">
      <c r="A150" t="s">
        <v>20</v>
      </c>
      <c r="B150" t="s">
        <v>54</v>
      </c>
      <c r="C150" t="s">
        <v>55</v>
      </c>
      <c r="D150" t="s">
        <v>15</v>
      </c>
      <c r="E150" t="s">
        <v>33</v>
      </c>
      <c r="F150">
        <v>15234.67</v>
      </c>
      <c r="G150">
        <v>15927.11</v>
      </c>
      <c r="H150">
        <v>-692.44</v>
      </c>
      <c r="I150">
        <v>-4.3499999999999996</v>
      </c>
      <c r="J150">
        <v>14367.96</v>
      </c>
      <c r="K150">
        <v>866.71</v>
      </c>
      <c r="L150">
        <v>106.03</v>
      </c>
    </row>
    <row r="151" spans="1:12" x14ac:dyDescent="0.3">
      <c r="A151" t="s">
        <v>21</v>
      </c>
      <c r="B151" t="s">
        <v>54</v>
      </c>
      <c r="C151" t="s">
        <v>55</v>
      </c>
      <c r="D151" t="s">
        <v>15</v>
      </c>
      <c r="E151" t="s">
        <v>33</v>
      </c>
      <c r="F151">
        <v>15126.49</v>
      </c>
      <c r="G151">
        <v>15234.67</v>
      </c>
      <c r="H151">
        <v>-108.18</v>
      </c>
      <c r="I151">
        <v>-0.71</v>
      </c>
      <c r="J151">
        <v>14617.6</v>
      </c>
      <c r="K151">
        <v>508.89</v>
      </c>
      <c r="L151">
        <v>103.48</v>
      </c>
    </row>
    <row r="152" spans="1:12" x14ac:dyDescent="0.3">
      <c r="A152" t="s">
        <v>22</v>
      </c>
      <c r="B152" t="s">
        <v>54</v>
      </c>
      <c r="C152" t="s">
        <v>55</v>
      </c>
      <c r="D152" t="s">
        <v>15</v>
      </c>
      <c r="E152" t="s">
        <v>33</v>
      </c>
      <c r="F152">
        <v>16978.18</v>
      </c>
      <c r="G152">
        <v>15126.49</v>
      </c>
      <c r="H152">
        <v>1851.69</v>
      </c>
      <c r="I152">
        <v>12.24</v>
      </c>
      <c r="J152">
        <v>16471.43</v>
      </c>
      <c r="K152">
        <v>506.75</v>
      </c>
      <c r="L152">
        <v>103.08</v>
      </c>
    </row>
    <row r="153" spans="1:12" x14ac:dyDescent="0.3">
      <c r="A153" t="s">
        <v>23</v>
      </c>
      <c r="B153" t="s">
        <v>54</v>
      </c>
      <c r="C153" t="s">
        <v>55</v>
      </c>
      <c r="D153" t="s">
        <v>15</v>
      </c>
      <c r="E153" t="s">
        <v>33</v>
      </c>
      <c r="F153">
        <v>16569.650000000001</v>
      </c>
      <c r="G153">
        <v>16978.18</v>
      </c>
      <c r="H153">
        <v>-408.53</v>
      </c>
      <c r="I153">
        <v>-2.41</v>
      </c>
      <c r="J153">
        <v>16018.9</v>
      </c>
      <c r="K153">
        <v>550.75</v>
      </c>
      <c r="L153">
        <v>103.44</v>
      </c>
    </row>
    <row r="154" spans="1:12" x14ac:dyDescent="0.3">
      <c r="A154" t="s">
        <v>24</v>
      </c>
      <c r="B154" t="s">
        <v>54</v>
      </c>
      <c r="C154" t="s">
        <v>55</v>
      </c>
      <c r="D154" t="s">
        <v>15</v>
      </c>
      <c r="E154" t="s">
        <v>33</v>
      </c>
      <c r="F154">
        <v>14903.34</v>
      </c>
      <c r="G154">
        <v>16569.650000000001</v>
      </c>
      <c r="H154">
        <v>-1666.31</v>
      </c>
      <c r="I154">
        <v>-10.06</v>
      </c>
      <c r="J154">
        <v>15090.99</v>
      </c>
      <c r="K154">
        <v>-187.65</v>
      </c>
      <c r="L154">
        <v>98.76</v>
      </c>
    </row>
    <row r="155" spans="1:12" x14ac:dyDescent="0.3">
      <c r="A155" t="s">
        <v>25</v>
      </c>
      <c r="B155" t="s">
        <v>54</v>
      </c>
      <c r="C155" t="s">
        <v>55</v>
      </c>
      <c r="D155" t="s">
        <v>15</v>
      </c>
      <c r="E155" t="s">
        <v>33</v>
      </c>
      <c r="F155">
        <v>14854.85</v>
      </c>
      <c r="G155">
        <v>14903.34</v>
      </c>
      <c r="H155">
        <v>-48.49</v>
      </c>
      <c r="I155">
        <v>-0.33</v>
      </c>
      <c r="J155">
        <v>14919.04</v>
      </c>
      <c r="K155">
        <v>-64.19</v>
      </c>
      <c r="L155">
        <v>99.57</v>
      </c>
    </row>
    <row r="156" spans="1:12" x14ac:dyDescent="0.3">
      <c r="A156" t="s">
        <v>26</v>
      </c>
      <c r="B156" t="s">
        <v>54</v>
      </c>
      <c r="C156" t="s">
        <v>55</v>
      </c>
      <c r="D156" t="s">
        <v>15</v>
      </c>
      <c r="E156" t="s">
        <v>33</v>
      </c>
      <c r="F156">
        <v>15782.83</v>
      </c>
      <c r="G156">
        <v>14854.85</v>
      </c>
      <c r="H156">
        <v>927.98</v>
      </c>
      <c r="I156">
        <v>6.25</v>
      </c>
      <c r="J156">
        <v>15427.8</v>
      </c>
      <c r="K156">
        <v>355.03</v>
      </c>
      <c r="L156">
        <v>102.3</v>
      </c>
    </row>
    <row r="157" spans="1:12" x14ac:dyDescent="0.3">
      <c r="A157" t="s">
        <v>27</v>
      </c>
      <c r="B157" t="s">
        <v>54</v>
      </c>
      <c r="C157" t="s">
        <v>55</v>
      </c>
      <c r="D157" t="s">
        <v>15</v>
      </c>
      <c r="E157" t="s">
        <v>33</v>
      </c>
      <c r="F157">
        <v>17090.96</v>
      </c>
      <c r="G157">
        <v>15782.83</v>
      </c>
      <c r="H157">
        <v>1308.1300000000001</v>
      </c>
      <c r="I157">
        <v>8.2899999999999991</v>
      </c>
      <c r="J157">
        <v>16587.7</v>
      </c>
      <c r="K157">
        <v>503.26</v>
      </c>
      <c r="L157">
        <v>103.03</v>
      </c>
    </row>
    <row r="158" spans="1:12" x14ac:dyDescent="0.3">
      <c r="A158" t="s">
        <v>12</v>
      </c>
      <c r="B158" t="s">
        <v>56</v>
      </c>
      <c r="C158" t="s">
        <v>57</v>
      </c>
      <c r="D158" t="s">
        <v>15</v>
      </c>
      <c r="E158" t="s">
        <v>36</v>
      </c>
      <c r="F158">
        <v>16182.08</v>
      </c>
      <c r="J158">
        <v>15818.07</v>
      </c>
      <c r="K158">
        <v>364.01</v>
      </c>
      <c r="L158">
        <v>102.3</v>
      </c>
    </row>
    <row r="159" spans="1:12" x14ac:dyDescent="0.3">
      <c r="A159" t="s">
        <v>17</v>
      </c>
      <c r="B159" t="s">
        <v>56</v>
      </c>
      <c r="C159" t="s">
        <v>57</v>
      </c>
      <c r="D159" t="s">
        <v>15</v>
      </c>
      <c r="E159" t="s">
        <v>36</v>
      </c>
      <c r="F159">
        <v>13705.38</v>
      </c>
      <c r="G159">
        <v>16182.08</v>
      </c>
      <c r="H159">
        <v>-2476.6999999999998</v>
      </c>
      <c r="I159">
        <v>-15.31</v>
      </c>
      <c r="J159">
        <v>13301.81</v>
      </c>
      <c r="K159">
        <v>403.57</v>
      </c>
      <c r="L159">
        <v>103.03</v>
      </c>
    </row>
    <row r="160" spans="1:12" x14ac:dyDescent="0.3">
      <c r="A160" t="s">
        <v>18</v>
      </c>
      <c r="B160" t="s">
        <v>56</v>
      </c>
      <c r="C160" t="s">
        <v>57</v>
      </c>
      <c r="D160" t="s">
        <v>15</v>
      </c>
      <c r="E160" t="s">
        <v>36</v>
      </c>
      <c r="F160">
        <v>14238.02</v>
      </c>
      <c r="G160">
        <v>13705.38</v>
      </c>
      <c r="H160">
        <v>532.64</v>
      </c>
      <c r="I160">
        <v>3.89</v>
      </c>
      <c r="J160">
        <v>14751.43</v>
      </c>
      <c r="K160">
        <v>-513.41</v>
      </c>
      <c r="L160">
        <v>96.52</v>
      </c>
    </row>
    <row r="161" spans="1:12" x14ac:dyDescent="0.3">
      <c r="A161" t="s">
        <v>19</v>
      </c>
      <c r="B161" t="s">
        <v>56</v>
      </c>
      <c r="C161" t="s">
        <v>57</v>
      </c>
      <c r="D161" t="s">
        <v>15</v>
      </c>
      <c r="E161" t="s">
        <v>36</v>
      </c>
      <c r="F161">
        <v>15414.43</v>
      </c>
      <c r="G161">
        <v>14238.02</v>
      </c>
      <c r="H161">
        <v>1176.4100000000001</v>
      </c>
      <c r="I161">
        <v>8.26</v>
      </c>
      <c r="J161">
        <v>14537.49</v>
      </c>
      <c r="K161">
        <v>876.94</v>
      </c>
      <c r="L161">
        <v>106.03</v>
      </c>
    </row>
    <row r="162" spans="1:12" x14ac:dyDescent="0.3">
      <c r="A162" t="s">
        <v>20</v>
      </c>
      <c r="B162" t="s">
        <v>56</v>
      </c>
      <c r="C162" t="s">
        <v>57</v>
      </c>
      <c r="D162" t="s">
        <v>15</v>
      </c>
      <c r="E162" t="s">
        <v>36</v>
      </c>
      <c r="F162">
        <v>15111.59</v>
      </c>
      <c r="G162">
        <v>15414.43</v>
      </c>
      <c r="H162">
        <v>-302.83999999999997</v>
      </c>
      <c r="I162">
        <v>-1.96</v>
      </c>
      <c r="J162">
        <v>14603.2</v>
      </c>
      <c r="K162">
        <v>508.39</v>
      </c>
      <c r="L162">
        <v>103.48</v>
      </c>
    </row>
    <row r="163" spans="1:12" x14ac:dyDescent="0.3">
      <c r="A163" t="s">
        <v>21</v>
      </c>
      <c r="B163" t="s">
        <v>56</v>
      </c>
      <c r="C163" t="s">
        <v>57</v>
      </c>
      <c r="D163" t="s">
        <v>15</v>
      </c>
      <c r="E163" t="s">
        <v>36</v>
      </c>
      <c r="F163">
        <v>17296.18</v>
      </c>
      <c r="G163">
        <v>15111.59</v>
      </c>
      <c r="H163">
        <v>2184.59</v>
      </c>
      <c r="I163">
        <v>14.46</v>
      </c>
      <c r="J163">
        <v>16779.939999999999</v>
      </c>
      <c r="K163">
        <v>516.24</v>
      </c>
      <c r="L163">
        <v>103.08</v>
      </c>
    </row>
    <row r="164" spans="1:12" x14ac:dyDescent="0.3">
      <c r="A164" t="s">
        <v>22</v>
      </c>
      <c r="B164" t="s">
        <v>56</v>
      </c>
      <c r="C164" t="s">
        <v>57</v>
      </c>
      <c r="D164" t="s">
        <v>15</v>
      </c>
      <c r="E164" t="s">
        <v>36</v>
      </c>
      <c r="F164">
        <v>15745.33</v>
      </c>
      <c r="G164">
        <v>17296.18</v>
      </c>
      <c r="H164">
        <v>-1550.85</v>
      </c>
      <c r="I164">
        <v>-8.9700000000000006</v>
      </c>
      <c r="J164">
        <v>15221.98</v>
      </c>
      <c r="K164">
        <v>523.35</v>
      </c>
      <c r="L164">
        <v>103.44</v>
      </c>
    </row>
    <row r="165" spans="1:12" x14ac:dyDescent="0.3">
      <c r="A165" t="s">
        <v>23</v>
      </c>
      <c r="B165" t="s">
        <v>56</v>
      </c>
      <c r="C165" t="s">
        <v>57</v>
      </c>
      <c r="D165" t="s">
        <v>15</v>
      </c>
      <c r="E165" t="s">
        <v>36</v>
      </c>
      <c r="F165">
        <v>17272.66</v>
      </c>
      <c r="G165">
        <v>15745.33</v>
      </c>
      <c r="H165">
        <v>1527.33</v>
      </c>
      <c r="I165">
        <v>9.6999999999999993</v>
      </c>
      <c r="J165">
        <v>17490.150000000001</v>
      </c>
      <c r="K165">
        <v>-217.49</v>
      </c>
      <c r="L165">
        <v>98.76</v>
      </c>
    </row>
    <row r="166" spans="1:12" x14ac:dyDescent="0.3">
      <c r="A166" t="s">
        <v>24</v>
      </c>
      <c r="B166" t="s">
        <v>56</v>
      </c>
      <c r="C166" t="s">
        <v>57</v>
      </c>
      <c r="D166" t="s">
        <v>15</v>
      </c>
      <c r="E166" t="s">
        <v>36</v>
      </c>
      <c r="F166">
        <v>16403.599999999999</v>
      </c>
      <c r="G166">
        <v>17272.66</v>
      </c>
      <c r="H166">
        <v>-869.06</v>
      </c>
      <c r="I166">
        <v>-5.03</v>
      </c>
      <c r="J166">
        <v>16731.47</v>
      </c>
      <c r="K166">
        <v>-327.87</v>
      </c>
      <c r="L166">
        <v>98.04</v>
      </c>
    </row>
    <row r="167" spans="1:12" x14ac:dyDescent="0.3">
      <c r="A167" t="s">
        <v>25</v>
      </c>
      <c r="B167" t="s">
        <v>56</v>
      </c>
      <c r="C167" t="s">
        <v>57</v>
      </c>
      <c r="D167" t="s">
        <v>15</v>
      </c>
      <c r="E167" t="s">
        <v>36</v>
      </c>
      <c r="F167">
        <v>15574.14</v>
      </c>
      <c r="G167">
        <v>16403.599999999999</v>
      </c>
      <c r="H167">
        <v>-829.46</v>
      </c>
      <c r="I167">
        <v>-5.0599999999999996</v>
      </c>
      <c r="J167">
        <v>15223.8</v>
      </c>
      <c r="K167">
        <v>350.34</v>
      </c>
      <c r="L167">
        <v>102.3</v>
      </c>
    </row>
    <row r="168" spans="1:12" x14ac:dyDescent="0.3">
      <c r="A168" t="s">
        <v>26</v>
      </c>
      <c r="B168" t="s">
        <v>56</v>
      </c>
      <c r="C168" t="s">
        <v>57</v>
      </c>
      <c r="D168" t="s">
        <v>15</v>
      </c>
      <c r="E168" t="s">
        <v>36</v>
      </c>
      <c r="F168">
        <v>17437.53</v>
      </c>
      <c r="G168">
        <v>15574.14</v>
      </c>
      <c r="H168">
        <v>1863.39</v>
      </c>
      <c r="I168">
        <v>11.96</v>
      </c>
      <c r="J168">
        <v>16924.060000000001</v>
      </c>
      <c r="K168">
        <v>513.47</v>
      </c>
      <c r="L168">
        <v>103.03</v>
      </c>
    </row>
    <row r="169" spans="1:12" x14ac:dyDescent="0.3">
      <c r="A169" t="s">
        <v>27</v>
      </c>
      <c r="B169" t="s">
        <v>56</v>
      </c>
      <c r="C169" t="s">
        <v>57</v>
      </c>
      <c r="D169" t="s">
        <v>15</v>
      </c>
      <c r="E169" t="s">
        <v>36</v>
      </c>
      <c r="F169">
        <v>16200.74</v>
      </c>
      <c r="G169">
        <v>17437.53</v>
      </c>
      <c r="H169">
        <v>-1236.79</v>
      </c>
      <c r="I169">
        <v>-7.09</v>
      </c>
      <c r="J169">
        <v>16784.93</v>
      </c>
      <c r="K169">
        <v>-584.19000000000005</v>
      </c>
      <c r="L169">
        <v>96.52</v>
      </c>
    </row>
    <row r="170" spans="1:12" x14ac:dyDescent="0.3">
      <c r="A170" t="s">
        <v>12</v>
      </c>
      <c r="B170" t="s">
        <v>58</v>
      </c>
      <c r="C170" t="s">
        <v>59</v>
      </c>
      <c r="D170" t="s">
        <v>15</v>
      </c>
      <c r="E170" t="s">
        <v>39</v>
      </c>
      <c r="F170">
        <v>16106.77</v>
      </c>
      <c r="J170">
        <v>15632.49</v>
      </c>
      <c r="K170">
        <v>474.28</v>
      </c>
      <c r="L170">
        <v>103.03</v>
      </c>
    </row>
    <row r="171" spans="1:12" x14ac:dyDescent="0.3">
      <c r="A171" t="s">
        <v>17</v>
      </c>
      <c r="B171" t="s">
        <v>58</v>
      </c>
      <c r="C171" t="s">
        <v>59</v>
      </c>
      <c r="D171" t="s">
        <v>15</v>
      </c>
      <c r="E171" t="s">
        <v>39</v>
      </c>
      <c r="F171">
        <v>15146.78</v>
      </c>
      <c r="G171">
        <v>16106.77</v>
      </c>
      <c r="H171">
        <v>-959.99</v>
      </c>
      <c r="I171">
        <v>-5.96</v>
      </c>
      <c r="J171">
        <v>15692.96</v>
      </c>
      <c r="K171">
        <v>-546.17999999999995</v>
      </c>
      <c r="L171">
        <v>96.52</v>
      </c>
    </row>
    <row r="172" spans="1:12" x14ac:dyDescent="0.3">
      <c r="A172" t="s">
        <v>18</v>
      </c>
      <c r="B172" t="s">
        <v>58</v>
      </c>
      <c r="C172" t="s">
        <v>59</v>
      </c>
      <c r="D172" t="s">
        <v>15</v>
      </c>
      <c r="E172" t="s">
        <v>39</v>
      </c>
      <c r="F172">
        <v>16761.849999999999</v>
      </c>
      <c r="G172">
        <v>15146.78</v>
      </c>
      <c r="H172">
        <v>1615.07</v>
      </c>
      <c r="I172">
        <v>10.66</v>
      </c>
      <c r="J172">
        <v>15808.26</v>
      </c>
      <c r="K172">
        <v>953.59</v>
      </c>
      <c r="L172">
        <v>106.03</v>
      </c>
    </row>
    <row r="173" spans="1:12" x14ac:dyDescent="0.3">
      <c r="A173" t="s">
        <v>19</v>
      </c>
      <c r="B173" t="s">
        <v>58</v>
      </c>
      <c r="C173" t="s">
        <v>59</v>
      </c>
      <c r="D173" t="s">
        <v>15</v>
      </c>
      <c r="E173" t="s">
        <v>39</v>
      </c>
      <c r="F173">
        <v>16413</v>
      </c>
      <c r="G173">
        <v>16761.849999999999</v>
      </c>
      <c r="H173">
        <v>-348.85</v>
      </c>
      <c r="I173">
        <v>-2.08</v>
      </c>
      <c r="J173">
        <v>15860.83</v>
      </c>
      <c r="K173">
        <v>552.16999999999996</v>
      </c>
      <c r="L173">
        <v>103.48</v>
      </c>
    </row>
    <row r="174" spans="1:12" x14ac:dyDescent="0.3">
      <c r="A174" t="s">
        <v>20</v>
      </c>
      <c r="B174" t="s">
        <v>58</v>
      </c>
      <c r="C174" t="s">
        <v>59</v>
      </c>
      <c r="D174" t="s">
        <v>15</v>
      </c>
      <c r="E174" t="s">
        <v>39</v>
      </c>
      <c r="F174">
        <v>14820.24</v>
      </c>
      <c r="G174">
        <v>16413</v>
      </c>
      <c r="H174">
        <v>-1592.76</v>
      </c>
      <c r="I174">
        <v>-9.6999999999999993</v>
      </c>
      <c r="J174">
        <v>14377.9</v>
      </c>
      <c r="K174">
        <v>442.34</v>
      </c>
      <c r="L174">
        <v>103.08</v>
      </c>
    </row>
    <row r="175" spans="1:12" x14ac:dyDescent="0.3">
      <c r="A175" t="s">
        <v>21</v>
      </c>
      <c r="B175" t="s">
        <v>58</v>
      </c>
      <c r="C175" t="s">
        <v>59</v>
      </c>
      <c r="D175" t="s">
        <v>15</v>
      </c>
      <c r="E175" t="s">
        <v>39</v>
      </c>
      <c r="F175">
        <v>13532.49</v>
      </c>
      <c r="G175">
        <v>14820.24</v>
      </c>
      <c r="H175">
        <v>-1287.75</v>
      </c>
      <c r="I175">
        <v>-8.69</v>
      </c>
      <c r="J175">
        <v>13082.69</v>
      </c>
      <c r="K175">
        <v>449.8</v>
      </c>
      <c r="L175">
        <v>103.44</v>
      </c>
    </row>
    <row r="176" spans="1:12" x14ac:dyDescent="0.3">
      <c r="A176" t="s">
        <v>22</v>
      </c>
      <c r="B176" t="s">
        <v>58</v>
      </c>
      <c r="C176" t="s">
        <v>59</v>
      </c>
      <c r="D176" t="s">
        <v>15</v>
      </c>
      <c r="E176" t="s">
        <v>39</v>
      </c>
      <c r="F176">
        <v>15738.92</v>
      </c>
      <c r="G176">
        <v>13532.49</v>
      </c>
      <c r="H176">
        <v>2206.4299999999998</v>
      </c>
      <c r="I176">
        <v>16.3</v>
      </c>
      <c r="J176">
        <v>15937.1</v>
      </c>
      <c r="K176">
        <v>-198.18</v>
      </c>
      <c r="L176">
        <v>98.76</v>
      </c>
    </row>
    <row r="177" spans="1:12" x14ac:dyDescent="0.3">
      <c r="A177" t="s">
        <v>23</v>
      </c>
      <c r="B177" t="s">
        <v>58</v>
      </c>
      <c r="C177" t="s">
        <v>59</v>
      </c>
      <c r="D177" t="s">
        <v>15</v>
      </c>
      <c r="E177" t="s">
        <v>39</v>
      </c>
      <c r="F177">
        <v>15780.75</v>
      </c>
      <c r="G177">
        <v>15738.92</v>
      </c>
      <c r="H177">
        <v>41.83</v>
      </c>
      <c r="I177">
        <v>0.27</v>
      </c>
      <c r="J177">
        <v>16096.17</v>
      </c>
      <c r="K177">
        <v>-315.42</v>
      </c>
      <c r="L177">
        <v>98.04</v>
      </c>
    </row>
    <row r="178" spans="1:12" x14ac:dyDescent="0.3">
      <c r="A178" t="s">
        <v>24</v>
      </c>
      <c r="B178" t="s">
        <v>58</v>
      </c>
      <c r="C178" t="s">
        <v>59</v>
      </c>
      <c r="D178" t="s">
        <v>15</v>
      </c>
      <c r="E178" t="s">
        <v>39</v>
      </c>
      <c r="F178">
        <v>15140.31</v>
      </c>
      <c r="G178">
        <v>15780.75</v>
      </c>
      <c r="H178">
        <v>-640.44000000000005</v>
      </c>
      <c r="I178">
        <v>-4.0599999999999996</v>
      </c>
      <c r="J178">
        <v>15816.83</v>
      </c>
      <c r="K178">
        <v>-676.52</v>
      </c>
      <c r="L178">
        <v>95.72</v>
      </c>
    </row>
    <row r="179" spans="1:12" x14ac:dyDescent="0.3">
      <c r="A179" t="s">
        <v>25</v>
      </c>
      <c r="B179" t="s">
        <v>58</v>
      </c>
      <c r="C179" t="s">
        <v>59</v>
      </c>
      <c r="D179" t="s">
        <v>15</v>
      </c>
      <c r="E179" t="s">
        <v>39</v>
      </c>
      <c r="F179">
        <v>14854.81</v>
      </c>
      <c r="G179">
        <v>15140.31</v>
      </c>
      <c r="H179">
        <v>-285.5</v>
      </c>
      <c r="I179">
        <v>-1.89</v>
      </c>
      <c r="J179">
        <v>14417.4</v>
      </c>
      <c r="K179">
        <v>437.41</v>
      </c>
      <c r="L179">
        <v>103.03</v>
      </c>
    </row>
    <row r="180" spans="1:12" x14ac:dyDescent="0.3">
      <c r="A180" t="s">
        <v>26</v>
      </c>
      <c r="B180" t="s">
        <v>58</v>
      </c>
      <c r="C180" t="s">
        <v>59</v>
      </c>
      <c r="D180" t="s">
        <v>15</v>
      </c>
      <c r="E180" t="s">
        <v>39</v>
      </c>
      <c r="F180">
        <v>16433.16</v>
      </c>
      <c r="G180">
        <v>14854.81</v>
      </c>
      <c r="H180">
        <v>1578.35</v>
      </c>
      <c r="I180">
        <v>10.63</v>
      </c>
      <c r="J180">
        <v>17025.73</v>
      </c>
      <c r="K180">
        <v>-592.57000000000005</v>
      </c>
      <c r="L180">
        <v>96.52</v>
      </c>
    </row>
    <row r="181" spans="1:12" x14ac:dyDescent="0.3">
      <c r="A181" t="s">
        <v>27</v>
      </c>
      <c r="B181" t="s">
        <v>58</v>
      </c>
      <c r="C181" t="s">
        <v>59</v>
      </c>
      <c r="D181" t="s">
        <v>15</v>
      </c>
      <c r="E181" t="s">
        <v>39</v>
      </c>
      <c r="F181">
        <v>15929.46</v>
      </c>
      <c r="G181">
        <v>16433.16</v>
      </c>
      <c r="H181">
        <v>-503.7</v>
      </c>
      <c r="I181">
        <v>-3.07</v>
      </c>
      <c r="J181">
        <v>15023.22</v>
      </c>
      <c r="K181">
        <v>906.24</v>
      </c>
      <c r="L181">
        <v>106.03</v>
      </c>
    </row>
    <row r="182" spans="1:12" x14ac:dyDescent="0.3">
      <c r="A182" t="s">
        <v>12</v>
      </c>
      <c r="B182" t="s">
        <v>60</v>
      </c>
      <c r="C182" t="s">
        <v>61</v>
      </c>
      <c r="D182" t="s">
        <v>15</v>
      </c>
      <c r="E182" t="s">
        <v>16</v>
      </c>
      <c r="F182">
        <v>15531.43</v>
      </c>
      <c r="J182">
        <v>16091.48</v>
      </c>
      <c r="K182">
        <v>-560.04999999999995</v>
      </c>
      <c r="L182">
        <v>96.52</v>
      </c>
    </row>
    <row r="183" spans="1:12" x14ac:dyDescent="0.3">
      <c r="A183" t="s">
        <v>17</v>
      </c>
      <c r="B183" t="s">
        <v>60</v>
      </c>
      <c r="C183" t="s">
        <v>61</v>
      </c>
      <c r="D183" t="s">
        <v>15</v>
      </c>
      <c r="E183" t="s">
        <v>16</v>
      </c>
      <c r="F183">
        <v>13423.83</v>
      </c>
      <c r="G183">
        <v>15531.43</v>
      </c>
      <c r="H183">
        <v>-2107.6</v>
      </c>
      <c r="I183">
        <v>-13.57</v>
      </c>
      <c r="J183">
        <v>12660.14</v>
      </c>
      <c r="K183">
        <v>763.69</v>
      </c>
      <c r="L183">
        <v>106.03</v>
      </c>
    </row>
    <row r="184" spans="1:12" x14ac:dyDescent="0.3">
      <c r="A184" t="s">
        <v>18</v>
      </c>
      <c r="B184" t="s">
        <v>60</v>
      </c>
      <c r="C184" t="s">
        <v>61</v>
      </c>
      <c r="D184" t="s">
        <v>15</v>
      </c>
      <c r="E184" t="s">
        <v>16</v>
      </c>
      <c r="F184">
        <v>16580.330000000002</v>
      </c>
      <c r="G184">
        <v>13423.83</v>
      </c>
      <c r="H184">
        <v>3156.5</v>
      </c>
      <c r="I184">
        <v>23.51</v>
      </c>
      <c r="J184">
        <v>16022.53</v>
      </c>
      <c r="K184">
        <v>557.79999999999995</v>
      </c>
      <c r="L184">
        <v>103.48</v>
      </c>
    </row>
    <row r="185" spans="1:12" x14ac:dyDescent="0.3">
      <c r="A185" t="s">
        <v>19</v>
      </c>
      <c r="B185" t="s">
        <v>60</v>
      </c>
      <c r="C185" t="s">
        <v>61</v>
      </c>
      <c r="D185" t="s">
        <v>15</v>
      </c>
      <c r="E185" t="s">
        <v>16</v>
      </c>
      <c r="F185">
        <v>16157.32</v>
      </c>
      <c r="G185">
        <v>16580.330000000002</v>
      </c>
      <c r="H185">
        <v>-423.01</v>
      </c>
      <c r="I185">
        <v>-2.5499999999999998</v>
      </c>
      <c r="J185">
        <v>15675.07</v>
      </c>
      <c r="K185">
        <v>482.25</v>
      </c>
      <c r="L185">
        <v>103.08</v>
      </c>
    </row>
    <row r="186" spans="1:12" x14ac:dyDescent="0.3">
      <c r="A186" t="s">
        <v>20</v>
      </c>
      <c r="B186" t="s">
        <v>60</v>
      </c>
      <c r="C186" t="s">
        <v>61</v>
      </c>
      <c r="D186" t="s">
        <v>15</v>
      </c>
      <c r="E186" t="s">
        <v>16</v>
      </c>
      <c r="F186">
        <v>15013</v>
      </c>
      <c r="G186">
        <v>16157.32</v>
      </c>
      <c r="H186">
        <v>-1144.32</v>
      </c>
      <c r="I186">
        <v>-7.08</v>
      </c>
      <c r="J186">
        <v>14513.99</v>
      </c>
      <c r="K186">
        <v>499.01</v>
      </c>
      <c r="L186">
        <v>103.44</v>
      </c>
    </row>
    <row r="187" spans="1:12" x14ac:dyDescent="0.3">
      <c r="A187" t="s">
        <v>21</v>
      </c>
      <c r="B187" t="s">
        <v>60</v>
      </c>
      <c r="C187" t="s">
        <v>61</v>
      </c>
      <c r="D187" t="s">
        <v>15</v>
      </c>
      <c r="E187" t="s">
        <v>16</v>
      </c>
      <c r="F187">
        <v>14764.2</v>
      </c>
      <c r="G187">
        <v>15013</v>
      </c>
      <c r="H187">
        <v>-248.8</v>
      </c>
      <c r="I187">
        <v>-1.66</v>
      </c>
      <c r="J187">
        <v>14950.1</v>
      </c>
      <c r="K187">
        <v>-185.9</v>
      </c>
      <c r="L187">
        <v>98.76</v>
      </c>
    </row>
    <row r="188" spans="1:12" x14ac:dyDescent="0.3">
      <c r="A188" t="s">
        <v>22</v>
      </c>
      <c r="B188" t="s">
        <v>60</v>
      </c>
      <c r="C188" t="s">
        <v>61</v>
      </c>
      <c r="D188" t="s">
        <v>15</v>
      </c>
      <c r="E188" t="s">
        <v>16</v>
      </c>
      <c r="F188">
        <v>15807.36</v>
      </c>
      <c r="G188">
        <v>14764.2</v>
      </c>
      <c r="H188">
        <v>1043.1600000000001</v>
      </c>
      <c r="I188">
        <v>7.07</v>
      </c>
      <c r="J188">
        <v>16123.31</v>
      </c>
      <c r="K188">
        <v>-315.95</v>
      </c>
      <c r="L188">
        <v>98.04</v>
      </c>
    </row>
    <row r="189" spans="1:12" x14ac:dyDescent="0.3">
      <c r="A189" t="s">
        <v>23</v>
      </c>
      <c r="B189" t="s">
        <v>60</v>
      </c>
      <c r="C189" t="s">
        <v>61</v>
      </c>
      <c r="D189" t="s">
        <v>15</v>
      </c>
      <c r="E189" t="s">
        <v>16</v>
      </c>
      <c r="F189">
        <v>16322.89</v>
      </c>
      <c r="G189">
        <v>15807.36</v>
      </c>
      <c r="H189">
        <v>515.53</v>
      </c>
      <c r="I189">
        <v>3.26</v>
      </c>
      <c r="J189">
        <v>17052.25</v>
      </c>
      <c r="K189">
        <v>-729.36</v>
      </c>
      <c r="L189">
        <v>95.72</v>
      </c>
    </row>
    <row r="190" spans="1:12" x14ac:dyDescent="0.3">
      <c r="A190" t="s">
        <v>24</v>
      </c>
      <c r="B190" t="s">
        <v>60</v>
      </c>
      <c r="C190" t="s">
        <v>61</v>
      </c>
      <c r="D190" t="s">
        <v>15</v>
      </c>
      <c r="E190" t="s">
        <v>16</v>
      </c>
      <c r="F190">
        <v>14663.36</v>
      </c>
      <c r="G190">
        <v>16322.89</v>
      </c>
      <c r="H190">
        <v>-1659.53</v>
      </c>
      <c r="I190">
        <v>-10.17</v>
      </c>
      <c r="J190">
        <v>14776.56</v>
      </c>
      <c r="K190">
        <v>-113.2</v>
      </c>
      <c r="L190">
        <v>99.23</v>
      </c>
    </row>
    <row r="191" spans="1:12" x14ac:dyDescent="0.3">
      <c r="A191" t="s">
        <v>25</v>
      </c>
      <c r="B191" t="s">
        <v>60</v>
      </c>
      <c r="C191" t="s">
        <v>61</v>
      </c>
      <c r="D191" t="s">
        <v>15</v>
      </c>
      <c r="E191" t="s">
        <v>16</v>
      </c>
      <c r="F191">
        <v>15923.93</v>
      </c>
      <c r="G191">
        <v>14663.36</v>
      </c>
      <c r="H191">
        <v>1260.57</v>
      </c>
      <c r="I191">
        <v>8.6</v>
      </c>
      <c r="J191">
        <v>16498.14</v>
      </c>
      <c r="K191">
        <v>-574.21</v>
      </c>
      <c r="L191">
        <v>96.52</v>
      </c>
    </row>
    <row r="192" spans="1:12" x14ac:dyDescent="0.3">
      <c r="A192" t="s">
        <v>26</v>
      </c>
      <c r="B192" t="s">
        <v>60</v>
      </c>
      <c r="C192" t="s">
        <v>61</v>
      </c>
      <c r="D192" t="s">
        <v>15</v>
      </c>
      <c r="E192" t="s">
        <v>16</v>
      </c>
      <c r="F192">
        <v>15581.02</v>
      </c>
      <c r="G192">
        <v>15923.93</v>
      </c>
      <c r="H192">
        <v>-342.91</v>
      </c>
      <c r="I192">
        <v>-2.15</v>
      </c>
      <c r="J192">
        <v>14694.6</v>
      </c>
      <c r="K192">
        <v>886.42</v>
      </c>
      <c r="L192">
        <v>106.03</v>
      </c>
    </row>
    <row r="193" spans="1:12" x14ac:dyDescent="0.3">
      <c r="A193" t="s">
        <v>27</v>
      </c>
      <c r="B193" t="s">
        <v>60</v>
      </c>
      <c r="C193" t="s">
        <v>61</v>
      </c>
      <c r="D193" t="s">
        <v>15</v>
      </c>
      <c r="E193" t="s">
        <v>16</v>
      </c>
      <c r="F193">
        <v>16010.7</v>
      </c>
      <c r="G193">
        <v>15581.02</v>
      </c>
      <c r="H193">
        <v>429.68</v>
      </c>
      <c r="I193">
        <v>2.76</v>
      </c>
      <c r="J193">
        <v>15472.06</v>
      </c>
      <c r="K193">
        <v>538.64</v>
      </c>
      <c r="L193">
        <v>103.48</v>
      </c>
    </row>
    <row r="194" spans="1:12" x14ac:dyDescent="0.3">
      <c r="A194" t="s">
        <v>12</v>
      </c>
      <c r="B194" t="s">
        <v>62</v>
      </c>
      <c r="C194" t="s">
        <v>63</v>
      </c>
      <c r="D194" t="s">
        <v>15</v>
      </c>
      <c r="E194" t="s">
        <v>30</v>
      </c>
      <c r="F194">
        <v>16820.29</v>
      </c>
      <c r="J194">
        <v>15863.37</v>
      </c>
      <c r="K194">
        <v>956.92</v>
      </c>
      <c r="L194">
        <v>106.03</v>
      </c>
    </row>
    <row r="195" spans="1:12" x14ac:dyDescent="0.3">
      <c r="A195" t="s">
        <v>17</v>
      </c>
      <c r="B195" t="s">
        <v>62</v>
      </c>
      <c r="C195" t="s">
        <v>63</v>
      </c>
      <c r="D195" t="s">
        <v>15</v>
      </c>
      <c r="E195" t="s">
        <v>30</v>
      </c>
      <c r="F195">
        <v>14153.2</v>
      </c>
      <c r="G195">
        <v>16820.29</v>
      </c>
      <c r="H195">
        <v>-2667.09</v>
      </c>
      <c r="I195">
        <v>-15.86</v>
      </c>
      <c r="J195">
        <v>13677.05</v>
      </c>
      <c r="K195">
        <v>476.15</v>
      </c>
      <c r="L195">
        <v>103.48</v>
      </c>
    </row>
    <row r="196" spans="1:12" x14ac:dyDescent="0.3">
      <c r="A196" t="s">
        <v>18</v>
      </c>
      <c r="B196" t="s">
        <v>62</v>
      </c>
      <c r="C196" t="s">
        <v>63</v>
      </c>
      <c r="D196" t="s">
        <v>15</v>
      </c>
      <c r="E196" t="s">
        <v>30</v>
      </c>
      <c r="F196">
        <v>14073.33</v>
      </c>
      <c r="G196">
        <v>14153.2</v>
      </c>
      <c r="H196">
        <v>-79.87</v>
      </c>
      <c r="I196">
        <v>-0.56000000000000005</v>
      </c>
      <c r="J196">
        <v>13653.28</v>
      </c>
      <c r="K196">
        <v>420.05</v>
      </c>
      <c r="L196">
        <v>103.08</v>
      </c>
    </row>
    <row r="197" spans="1:12" x14ac:dyDescent="0.3">
      <c r="A197" t="s">
        <v>19</v>
      </c>
      <c r="B197" t="s">
        <v>62</v>
      </c>
      <c r="C197" t="s">
        <v>63</v>
      </c>
      <c r="D197" t="s">
        <v>15</v>
      </c>
      <c r="E197" t="s">
        <v>30</v>
      </c>
      <c r="F197">
        <v>15433.7</v>
      </c>
      <c r="G197">
        <v>14073.33</v>
      </c>
      <c r="H197">
        <v>1360.37</v>
      </c>
      <c r="I197">
        <v>9.67</v>
      </c>
      <c r="J197">
        <v>14920.71</v>
      </c>
      <c r="K197">
        <v>512.99</v>
      </c>
      <c r="L197">
        <v>103.44</v>
      </c>
    </row>
    <row r="198" spans="1:12" x14ac:dyDescent="0.3">
      <c r="A198" t="s">
        <v>20</v>
      </c>
      <c r="B198" t="s">
        <v>62</v>
      </c>
      <c r="C198" t="s">
        <v>63</v>
      </c>
      <c r="D198" t="s">
        <v>15</v>
      </c>
      <c r="E198" t="s">
        <v>30</v>
      </c>
      <c r="F198">
        <v>15769.72</v>
      </c>
      <c r="G198">
        <v>15433.7</v>
      </c>
      <c r="H198">
        <v>336.02</v>
      </c>
      <c r="I198">
        <v>2.1800000000000002</v>
      </c>
      <c r="J198">
        <v>15968.28</v>
      </c>
      <c r="K198">
        <v>-198.56</v>
      </c>
      <c r="L198">
        <v>98.76</v>
      </c>
    </row>
    <row r="199" spans="1:12" x14ac:dyDescent="0.3">
      <c r="A199" t="s">
        <v>21</v>
      </c>
      <c r="B199" t="s">
        <v>62</v>
      </c>
      <c r="C199" t="s">
        <v>63</v>
      </c>
      <c r="D199" t="s">
        <v>15</v>
      </c>
      <c r="E199" t="s">
        <v>30</v>
      </c>
      <c r="F199">
        <v>14957.45</v>
      </c>
      <c r="G199">
        <v>15769.72</v>
      </c>
      <c r="H199">
        <v>-812.27</v>
      </c>
      <c r="I199">
        <v>-5.15</v>
      </c>
      <c r="J199">
        <v>15256.42</v>
      </c>
      <c r="K199">
        <v>-298.97000000000003</v>
      </c>
      <c r="L199">
        <v>98.04</v>
      </c>
    </row>
    <row r="200" spans="1:12" x14ac:dyDescent="0.3">
      <c r="A200" t="s">
        <v>22</v>
      </c>
      <c r="B200" t="s">
        <v>62</v>
      </c>
      <c r="C200" t="s">
        <v>63</v>
      </c>
      <c r="D200" t="s">
        <v>15</v>
      </c>
      <c r="E200" t="s">
        <v>30</v>
      </c>
      <c r="F200">
        <v>14459.51</v>
      </c>
      <c r="G200">
        <v>14957.45</v>
      </c>
      <c r="H200">
        <v>-497.94</v>
      </c>
      <c r="I200">
        <v>-3.33</v>
      </c>
      <c r="J200">
        <v>15105.61</v>
      </c>
      <c r="K200">
        <v>-646.1</v>
      </c>
      <c r="L200">
        <v>95.72</v>
      </c>
    </row>
    <row r="201" spans="1:12" x14ac:dyDescent="0.3">
      <c r="A201" t="s">
        <v>23</v>
      </c>
      <c r="B201" t="s">
        <v>62</v>
      </c>
      <c r="C201" t="s">
        <v>63</v>
      </c>
      <c r="D201" t="s">
        <v>15</v>
      </c>
      <c r="E201" t="s">
        <v>30</v>
      </c>
      <c r="F201">
        <v>18219.59</v>
      </c>
      <c r="G201">
        <v>14459.51</v>
      </c>
      <c r="H201">
        <v>3760.08</v>
      </c>
      <c r="I201">
        <v>26</v>
      </c>
      <c r="J201">
        <v>18360.25</v>
      </c>
      <c r="K201">
        <v>-140.66</v>
      </c>
      <c r="L201">
        <v>99.23</v>
      </c>
    </row>
    <row r="202" spans="1:12" x14ac:dyDescent="0.3">
      <c r="A202" t="s">
        <v>24</v>
      </c>
      <c r="B202" t="s">
        <v>62</v>
      </c>
      <c r="C202" t="s">
        <v>63</v>
      </c>
      <c r="D202" t="s">
        <v>15</v>
      </c>
      <c r="E202" t="s">
        <v>30</v>
      </c>
      <c r="F202">
        <v>15068.99</v>
      </c>
      <c r="G202">
        <v>18219.59</v>
      </c>
      <c r="H202">
        <v>-3150.6</v>
      </c>
      <c r="I202">
        <v>-17.29</v>
      </c>
      <c r="J202">
        <v>15876</v>
      </c>
      <c r="K202">
        <v>-807.01</v>
      </c>
      <c r="L202">
        <v>94.92</v>
      </c>
    </row>
    <row r="203" spans="1:12" x14ac:dyDescent="0.3">
      <c r="A203" t="s">
        <v>25</v>
      </c>
      <c r="B203" t="s">
        <v>62</v>
      </c>
      <c r="C203" t="s">
        <v>63</v>
      </c>
      <c r="D203" t="s">
        <v>15</v>
      </c>
      <c r="E203" t="s">
        <v>30</v>
      </c>
      <c r="F203">
        <v>16912.66</v>
      </c>
      <c r="G203">
        <v>15068.99</v>
      </c>
      <c r="H203">
        <v>1843.67</v>
      </c>
      <c r="I203">
        <v>12.23</v>
      </c>
      <c r="J203">
        <v>15950.49</v>
      </c>
      <c r="K203">
        <v>962.17</v>
      </c>
      <c r="L203">
        <v>106.03</v>
      </c>
    </row>
    <row r="204" spans="1:12" x14ac:dyDescent="0.3">
      <c r="A204" t="s">
        <v>26</v>
      </c>
      <c r="B204" t="s">
        <v>62</v>
      </c>
      <c r="C204" t="s">
        <v>63</v>
      </c>
      <c r="D204" t="s">
        <v>15</v>
      </c>
      <c r="E204" t="s">
        <v>30</v>
      </c>
      <c r="F204">
        <v>15876.34</v>
      </c>
      <c r="G204">
        <v>16912.66</v>
      </c>
      <c r="H204">
        <v>-1036.32</v>
      </c>
      <c r="I204">
        <v>-6.13</v>
      </c>
      <c r="J204">
        <v>15342.22</v>
      </c>
      <c r="K204">
        <v>534.12</v>
      </c>
      <c r="L204">
        <v>103.48</v>
      </c>
    </row>
    <row r="205" spans="1:12" x14ac:dyDescent="0.3">
      <c r="A205" t="s">
        <v>27</v>
      </c>
      <c r="B205" t="s">
        <v>62</v>
      </c>
      <c r="C205" t="s">
        <v>63</v>
      </c>
      <c r="D205" t="s">
        <v>15</v>
      </c>
      <c r="E205" t="s">
        <v>30</v>
      </c>
      <c r="F205">
        <v>16932.240000000002</v>
      </c>
      <c r="G205">
        <v>15876.34</v>
      </c>
      <c r="H205">
        <v>1055.9000000000001</v>
      </c>
      <c r="I205">
        <v>6.65</v>
      </c>
      <c r="J205">
        <v>16426.86</v>
      </c>
      <c r="K205">
        <v>505.38</v>
      </c>
      <c r="L205">
        <v>103.08</v>
      </c>
    </row>
    <row r="206" spans="1:12" x14ac:dyDescent="0.3">
      <c r="A206" t="s">
        <v>12</v>
      </c>
      <c r="B206" t="s">
        <v>64</v>
      </c>
      <c r="C206" t="s">
        <v>65</v>
      </c>
      <c r="D206" t="s">
        <v>15</v>
      </c>
      <c r="E206" t="s">
        <v>33</v>
      </c>
      <c r="F206">
        <v>15931.68</v>
      </c>
      <c r="J206">
        <v>15395.7</v>
      </c>
      <c r="K206">
        <v>535.98</v>
      </c>
      <c r="L206">
        <v>103.48</v>
      </c>
    </row>
    <row r="207" spans="1:12" x14ac:dyDescent="0.3">
      <c r="A207" t="s">
        <v>17</v>
      </c>
      <c r="B207" t="s">
        <v>64</v>
      </c>
      <c r="C207" t="s">
        <v>65</v>
      </c>
      <c r="D207" t="s">
        <v>15</v>
      </c>
      <c r="E207" t="s">
        <v>33</v>
      </c>
      <c r="F207">
        <v>14923.51</v>
      </c>
      <c r="G207">
        <v>15931.68</v>
      </c>
      <c r="H207">
        <v>-1008.17</v>
      </c>
      <c r="I207">
        <v>-6.33</v>
      </c>
      <c r="J207">
        <v>14478.08</v>
      </c>
      <c r="K207">
        <v>445.43</v>
      </c>
      <c r="L207">
        <v>103.08</v>
      </c>
    </row>
    <row r="208" spans="1:12" x14ac:dyDescent="0.3">
      <c r="A208" t="s">
        <v>18</v>
      </c>
      <c r="B208" t="s">
        <v>64</v>
      </c>
      <c r="C208" t="s">
        <v>65</v>
      </c>
      <c r="D208" t="s">
        <v>15</v>
      </c>
      <c r="E208" t="s">
        <v>33</v>
      </c>
      <c r="F208">
        <v>17573.240000000002</v>
      </c>
      <c r="G208">
        <v>14923.51</v>
      </c>
      <c r="H208">
        <v>2649.73</v>
      </c>
      <c r="I208">
        <v>17.760000000000002</v>
      </c>
      <c r="J208">
        <v>16989.13</v>
      </c>
      <c r="K208">
        <v>584.11</v>
      </c>
      <c r="L208">
        <v>103.44</v>
      </c>
    </row>
    <row r="209" spans="1:12" x14ac:dyDescent="0.3">
      <c r="A209" t="s">
        <v>19</v>
      </c>
      <c r="B209" t="s">
        <v>64</v>
      </c>
      <c r="C209" t="s">
        <v>65</v>
      </c>
      <c r="D209" t="s">
        <v>15</v>
      </c>
      <c r="E209" t="s">
        <v>33</v>
      </c>
      <c r="F209">
        <v>15829.07</v>
      </c>
      <c r="G209">
        <v>17573.240000000002</v>
      </c>
      <c r="H209">
        <v>-1744.17</v>
      </c>
      <c r="I209">
        <v>-9.93</v>
      </c>
      <c r="J209">
        <v>16028.38</v>
      </c>
      <c r="K209">
        <v>-199.31</v>
      </c>
      <c r="L209">
        <v>98.76</v>
      </c>
    </row>
    <row r="210" spans="1:12" x14ac:dyDescent="0.3">
      <c r="A210" t="s">
        <v>20</v>
      </c>
      <c r="B210" t="s">
        <v>64</v>
      </c>
      <c r="C210" t="s">
        <v>65</v>
      </c>
      <c r="D210" t="s">
        <v>15</v>
      </c>
      <c r="E210" t="s">
        <v>33</v>
      </c>
      <c r="F210">
        <v>15361.35</v>
      </c>
      <c r="G210">
        <v>15829.07</v>
      </c>
      <c r="H210">
        <v>-467.72</v>
      </c>
      <c r="I210">
        <v>-2.95</v>
      </c>
      <c r="J210">
        <v>15668.39</v>
      </c>
      <c r="K210">
        <v>-307.04000000000002</v>
      </c>
      <c r="L210">
        <v>98.04</v>
      </c>
    </row>
    <row r="211" spans="1:12" x14ac:dyDescent="0.3">
      <c r="A211" t="s">
        <v>21</v>
      </c>
      <c r="B211" t="s">
        <v>64</v>
      </c>
      <c r="C211" t="s">
        <v>65</v>
      </c>
      <c r="D211" t="s">
        <v>15</v>
      </c>
      <c r="E211" t="s">
        <v>33</v>
      </c>
      <c r="F211">
        <v>16235.28</v>
      </c>
      <c r="G211">
        <v>15361.35</v>
      </c>
      <c r="H211">
        <v>873.93</v>
      </c>
      <c r="I211">
        <v>5.69</v>
      </c>
      <c r="J211">
        <v>16960.73</v>
      </c>
      <c r="K211">
        <v>-725.45</v>
      </c>
      <c r="L211">
        <v>95.72</v>
      </c>
    </row>
    <row r="212" spans="1:12" x14ac:dyDescent="0.3">
      <c r="A212" t="s">
        <v>22</v>
      </c>
      <c r="B212" t="s">
        <v>64</v>
      </c>
      <c r="C212" t="s">
        <v>65</v>
      </c>
      <c r="D212" t="s">
        <v>15</v>
      </c>
      <c r="E212" t="s">
        <v>33</v>
      </c>
      <c r="F212">
        <v>17855.259999999998</v>
      </c>
      <c r="G212">
        <v>16235.28</v>
      </c>
      <c r="H212">
        <v>1619.98</v>
      </c>
      <c r="I212">
        <v>9.98</v>
      </c>
      <c r="J212">
        <v>17993.099999999999</v>
      </c>
      <c r="K212">
        <v>-137.84</v>
      </c>
      <c r="L212">
        <v>99.23</v>
      </c>
    </row>
    <row r="213" spans="1:12" x14ac:dyDescent="0.3">
      <c r="A213" t="s">
        <v>23</v>
      </c>
      <c r="B213" t="s">
        <v>64</v>
      </c>
      <c r="C213" t="s">
        <v>65</v>
      </c>
      <c r="D213" t="s">
        <v>15</v>
      </c>
      <c r="E213" t="s">
        <v>33</v>
      </c>
      <c r="F213">
        <v>17790.689999999999</v>
      </c>
      <c r="G213">
        <v>17855.259999999998</v>
      </c>
      <c r="H213">
        <v>-64.569999999999993</v>
      </c>
      <c r="I213">
        <v>-0.36</v>
      </c>
      <c r="J213">
        <v>18743.46</v>
      </c>
      <c r="K213">
        <v>-952.77</v>
      </c>
      <c r="L213">
        <v>94.92</v>
      </c>
    </row>
    <row r="214" spans="1:12" x14ac:dyDescent="0.3">
      <c r="A214" t="s">
        <v>24</v>
      </c>
      <c r="B214" t="s">
        <v>64</v>
      </c>
      <c r="C214" t="s">
        <v>65</v>
      </c>
      <c r="D214" t="s">
        <v>15</v>
      </c>
      <c r="E214" t="s">
        <v>33</v>
      </c>
      <c r="F214">
        <v>16033.21</v>
      </c>
      <c r="G214">
        <v>17790.689999999999</v>
      </c>
      <c r="H214">
        <v>-1757.48</v>
      </c>
      <c r="I214">
        <v>-9.8800000000000008</v>
      </c>
      <c r="J214">
        <v>15202.9</v>
      </c>
      <c r="K214">
        <v>830.31</v>
      </c>
      <c r="L214">
        <v>105.46</v>
      </c>
    </row>
    <row r="215" spans="1:12" x14ac:dyDescent="0.3">
      <c r="A215" t="s">
        <v>25</v>
      </c>
      <c r="B215" t="s">
        <v>64</v>
      </c>
      <c r="C215" t="s">
        <v>65</v>
      </c>
      <c r="D215" t="s">
        <v>15</v>
      </c>
      <c r="E215" t="s">
        <v>33</v>
      </c>
      <c r="F215">
        <v>16906.939999999999</v>
      </c>
      <c r="G215">
        <v>16033.21</v>
      </c>
      <c r="H215">
        <v>873.73</v>
      </c>
      <c r="I215">
        <v>5.45</v>
      </c>
      <c r="J215">
        <v>16338.15</v>
      </c>
      <c r="K215">
        <v>568.79</v>
      </c>
      <c r="L215">
        <v>103.48</v>
      </c>
    </row>
    <row r="216" spans="1:12" x14ac:dyDescent="0.3">
      <c r="A216" t="s">
        <v>26</v>
      </c>
      <c r="B216" t="s">
        <v>64</v>
      </c>
      <c r="C216" t="s">
        <v>65</v>
      </c>
      <c r="D216" t="s">
        <v>15</v>
      </c>
      <c r="E216" t="s">
        <v>33</v>
      </c>
      <c r="F216">
        <v>16432.72</v>
      </c>
      <c r="G216">
        <v>16906.939999999999</v>
      </c>
      <c r="H216">
        <v>-474.22</v>
      </c>
      <c r="I216">
        <v>-2.8</v>
      </c>
      <c r="J216">
        <v>15942.25</v>
      </c>
      <c r="K216">
        <v>490.47</v>
      </c>
      <c r="L216">
        <v>103.08</v>
      </c>
    </row>
    <row r="217" spans="1:12" x14ac:dyDescent="0.3">
      <c r="A217" t="s">
        <v>27</v>
      </c>
      <c r="B217" t="s">
        <v>64</v>
      </c>
      <c r="C217" t="s">
        <v>65</v>
      </c>
      <c r="D217" t="s">
        <v>15</v>
      </c>
      <c r="E217" t="s">
        <v>33</v>
      </c>
      <c r="F217">
        <v>16263.43</v>
      </c>
      <c r="G217">
        <v>16432.72</v>
      </c>
      <c r="H217">
        <v>-169.29</v>
      </c>
      <c r="I217">
        <v>-1.03</v>
      </c>
      <c r="J217">
        <v>15722.86</v>
      </c>
      <c r="K217">
        <v>540.57000000000005</v>
      </c>
      <c r="L217">
        <v>103.44</v>
      </c>
    </row>
    <row r="218" spans="1:12" x14ac:dyDescent="0.3">
      <c r="A218" t="s">
        <v>12</v>
      </c>
      <c r="B218" t="s">
        <v>66</v>
      </c>
      <c r="C218" t="s">
        <v>67</v>
      </c>
      <c r="D218" t="s">
        <v>68</v>
      </c>
      <c r="E218" t="s">
        <v>36</v>
      </c>
      <c r="F218">
        <v>15602.84</v>
      </c>
      <c r="J218">
        <v>15137.14</v>
      </c>
      <c r="K218">
        <v>465.7</v>
      </c>
      <c r="L218">
        <v>103.08</v>
      </c>
    </row>
    <row r="219" spans="1:12" x14ac:dyDescent="0.3">
      <c r="A219" t="s">
        <v>17</v>
      </c>
      <c r="B219" t="s">
        <v>66</v>
      </c>
      <c r="C219" t="s">
        <v>67</v>
      </c>
      <c r="D219" t="s">
        <v>68</v>
      </c>
      <c r="E219" t="s">
        <v>36</v>
      </c>
      <c r="F219">
        <v>14110.28</v>
      </c>
      <c r="G219">
        <v>15602.84</v>
      </c>
      <c r="H219">
        <v>-1492.56</v>
      </c>
      <c r="I219">
        <v>-9.57</v>
      </c>
      <c r="J219">
        <v>13641.28</v>
      </c>
      <c r="K219">
        <v>469</v>
      </c>
      <c r="L219">
        <v>103.44</v>
      </c>
    </row>
    <row r="220" spans="1:12" x14ac:dyDescent="0.3">
      <c r="A220" t="s">
        <v>18</v>
      </c>
      <c r="B220" t="s">
        <v>66</v>
      </c>
      <c r="C220" t="s">
        <v>67</v>
      </c>
      <c r="D220" t="s">
        <v>68</v>
      </c>
      <c r="E220" t="s">
        <v>36</v>
      </c>
      <c r="F220">
        <v>17744.849999999999</v>
      </c>
      <c r="G220">
        <v>14110.28</v>
      </c>
      <c r="H220">
        <v>3634.57</v>
      </c>
      <c r="I220">
        <v>25.76</v>
      </c>
      <c r="J220">
        <v>17968.28</v>
      </c>
      <c r="K220">
        <v>-223.43</v>
      </c>
      <c r="L220">
        <v>98.76</v>
      </c>
    </row>
    <row r="221" spans="1:12" x14ac:dyDescent="0.3">
      <c r="A221" t="s">
        <v>19</v>
      </c>
      <c r="B221" t="s">
        <v>66</v>
      </c>
      <c r="C221" t="s">
        <v>67</v>
      </c>
      <c r="D221" t="s">
        <v>68</v>
      </c>
      <c r="E221" t="s">
        <v>36</v>
      </c>
      <c r="F221">
        <v>13991.6</v>
      </c>
      <c r="G221">
        <v>17744.849999999999</v>
      </c>
      <c r="H221">
        <v>-3753.25</v>
      </c>
      <c r="I221">
        <v>-21.15</v>
      </c>
      <c r="J221">
        <v>14271.26</v>
      </c>
      <c r="K221">
        <v>-279.66000000000003</v>
      </c>
      <c r="L221">
        <v>98.04</v>
      </c>
    </row>
    <row r="222" spans="1:12" x14ac:dyDescent="0.3">
      <c r="A222" t="s">
        <v>20</v>
      </c>
      <c r="B222" t="s">
        <v>66</v>
      </c>
      <c r="C222" t="s">
        <v>67</v>
      </c>
      <c r="D222" t="s">
        <v>68</v>
      </c>
      <c r="E222" t="s">
        <v>36</v>
      </c>
      <c r="F222">
        <v>15110.11</v>
      </c>
      <c r="G222">
        <v>13991.6</v>
      </c>
      <c r="H222">
        <v>1118.51</v>
      </c>
      <c r="I222">
        <v>7.99</v>
      </c>
      <c r="J222">
        <v>15785.28</v>
      </c>
      <c r="K222">
        <v>-675.17</v>
      </c>
      <c r="L222">
        <v>95.72</v>
      </c>
    </row>
    <row r="223" spans="1:12" x14ac:dyDescent="0.3">
      <c r="A223" t="s">
        <v>21</v>
      </c>
      <c r="B223" t="s">
        <v>66</v>
      </c>
      <c r="C223" t="s">
        <v>67</v>
      </c>
      <c r="D223" t="s">
        <v>68</v>
      </c>
      <c r="E223" t="s">
        <v>36</v>
      </c>
      <c r="F223">
        <v>15301.22</v>
      </c>
      <c r="G223">
        <v>15110.11</v>
      </c>
      <c r="H223">
        <v>191.11</v>
      </c>
      <c r="I223">
        <v>1.26</v>
      </c>
      <c r="J223">
        <v>15419.35</v>
      </c>
      <c r="K223">
        <v>-118.13</v>
      </c>
      <c r="L223">
        <v>99.23</v>
      </c>
    </row>
    <row r="224" spans="1:12" x14ac:dyDescent="0.3">
      <c r="A224" t="s">
        <v>22</v>
      </c>
      <c r="B224" t="s">
        <v>66</v>
      </c>
      <c r="C224" t="s">
        <v>67</v>
      </c>
      <c r="D224" t="s">
        <v>68</v>
      </c>
      <c r="E224" t="s">
        <v>36</v>
      </c>
      <c r="F224">
        <v>16910.060000000001</v>
      </c>
      <c r="G224">
        <v>15301.22</v>
      </c>
      <c r="H224">
        <v>1608.84</v>
      </c>
      <c r="I224">
        <v>10.51</v>
      </c>
      <c r="J224">
        <v>17815.669999999998</v>
      </c>
      <c r="K224">
        <v>-905.61</v>
      </c>
      <c r="L224">
        <v>94.92</v>
      </c>
    </row>
    <row r="225" spans="1:12" x14ac:dyDescent="0.3">
      <c r="A225" t="s">
        <v>23</v>
      </c>
      <c r="B225" t="s">
        <v>66</v>
      </c>
      <c r="C225" t="s">
        <v>67</v>
      </c>
      <c r="D225" t="s">
        <v>68</v>
      </c>
      <c r="E225" t="s">
        <v>36</v>
      </c>
      <c r="F225">
        <v>16003.63</v>
      </c>
      <c r="G225">
        <v>16910.060000000001</v>
      </c>
      <c r="H225">
        <v>-906.43</v>
      </c>
      <c r="I225">
        <v>-5.36</v>
      </c>
      <c r="J225">
        <v>15174.86</v>
      </c>
      <c r="K225">
        <v>828.77</v>
      </c>
      <c r="L225">
        <v>105.46</v>
      </c>
    </row>
    <row r="226" spans="1:12" x14ac:dyDescent="0.3">
      <c r="A226" t="s">
        <v>24</v>
      </c>
      <c r="B226" t="s">
        <v>66</v>
      </c>
      <c r="C226" t="s">
        <v>67</v>
      </c>
      <c r="D226" t="s">
        <v>68</v>
      </c>
      <c r="E226" t="s">
        <v>36</v>
      </c>
      <c r="F226">
        <v>15713.25</v>
      </c>
      <c r="G226">
        <v>16003.63</v>
      </c>
      <c r="H226">
        <v>-290.38</v>
      </c>
      <c r="I226">
        <v>-1.81</v>
      </c>
      <c r="J226">
        <v>16404.43</v>
      </c>
      <c r="K226">
        <v>-691.18</v>
      </c>
      <c r="L226">
        <v>95.79</v>
      </c>
    </row>
    <row r="227" spans="1:12" x14ac:dyDescent="0.3">
      <c r="A227" t="s">
        <v>25</v>
      </c>
      <c r="B227" t="s">
        <v>66</v>
      </c>
      <c r="C227" t="s">
        <v>67</v>
      </c>
      <c r="D227" t="s">
        <v>68</v>
      </c>
      <c r="E227" t="s">
        <v>36</v>
      </c>
      <c r="F227">
        <v>15016.22</v>
      </c>
      <c r="G227">
        <v>15713.25</v>
      </c>
      <c r="H227">
        <v>-697.03</v>
      </c>
      <c r="I227">
        <v>-4.4400000000000004</v>
      </c>
      <c r="J227">
        <v>14568.03</v>
      </c>
      <c r="K227">
        <v>448.19</v>
      </c>
      <c r="L227">
        <v>103.08</v>
      </c>
    </row>
    <row r="228" spans="1:12" x14ac:dyDescent="0.3">
      <c r="A228" t="s">
        <v>26</v>
      </c>
      <c r="B228" t="s">
        <v>66</v>
      </c>
      <c r="C228" t="s">
        <v>67</v>
      </c>
      <c r="D228" t="s">
        <v>68</v>
      </c>
      <c r="E228" t="s">
        <v>36</v>
      </c>
      <c r="F228">
        <v>15085.7</v>
      </c>
      <c r="G228">
        <v>15016.22</v>
      </c>
      <c r="H228">
        <v>69.48</v>
      </c>
      <c r="I228">
        <v>0.46</v>
      </c>
      <c r="J228">
        <v>14584.27</v>
      </c>
      <c r="K228">
        <v>501.43</v>
      </c>
      <c r="L228">
        <v>103.44</v>
      </c>
    </row>
    <row r="229" spans="1:12" x14ac:dyDescent="0.3">
      <c r="A229" t="s">
        <v>27</v>
      </c>
      <c r="B229" t="s">
        <v>66</v>
      </c>
      <c r="C229" t="s">
        <v>67</v>
      </c>
      <c r="D229" t="s">
        <v>68</v>
      </c>
      <c r="E229" t="s">
        <v>36</v>
      </c>
      <c r="F229">
        <v>16193.85</v>
      </c>
      <c r="G229">
        <v>15085.7</v>
      </c>
      <c r="H229">
        <v>1108.1500000000001</v>
      </c>
      <c r="I229">
        <v>7.35</v>
      </c>
      <c r="J229">
        <v>16397.75</v>
      </c>
      <c r="K229">
        <v>-203.9</v>
      </c>
      <c r="L229">
        <v>98.76</v>
      </c>
    </row>
    <row r="230" spans="1:12" x14ac:dyDescent="0.3">
      <c r="A230" t="s">
        <v>12</v>
      </c>
      <c r="B230" t="s">
        <v>69</v>
      </c>
      <c r="C230" t="s">
        <v>70</v>
      </c>
      <c r="D230" t="s">
        <v>68</v>
      </c>
      <c r="E230" t="s">
        <v>39</v>
      </c>
      <c r="F230">
        <v>14076.87</v>
      </c>
      <c r="J230">
        <v>14656.46</v>
      </c>
      <c r="K230">
        <v>-579.59</v>
      </c>
      <c r="L230">
        <v>96.05</v>
      </c>
    </row>
    <row r="231" spans="1:12" x14ac:dyDescent="0.3">
      <c r="A231" t="s">
        <v>17</v>
      </c>
      <c r="B231" t="s">
        <v>69</v>
      </c>
      <c r="C231" t="s">
        <v>70</v>
      </c>
      <c r="D231" t="s">
        <v>68</v>
      </c>
      <c r="E231" t="s">
        <v>39</v>
      </c>
      <c r="F231">
        <v>15302.35</v>
      </c>
      <c r="G231">
        <v>14076.87</v>
      </c>
      <c r="H231">
        <v>1225.48</v>
      </c>
      <c r="I231">
        <v>8.7100000000000009</v>
      </c>
      <c r="J231">
        <v>15643.07</v>
      </c>
      <c r="K231">
        <v>-340.72</v>
      </c>
      <c r="L231">
        <v>97.82</v>
      </c>
    </row>
    <row r="232" spans="1:12" x14ac:dyDescent="0.3">
      <c r="A232" t="s">
        <v>18</v>
      </c>
      <c r="B232" t="s">
        <v>69</v>
      </c>
      <c r="C232" t="s">
        <v>70</v>
      </c>
      <c r="D232" t="s">
        <v>68</v>
      </c>
      <c r="E232" t="s">
        <v>39</v>
      </c>
      <c r="F232">
        <v>16330.9</v>
      </c>
      <c r="G232">
        <v>15302.35</v>
      </c>
      <c r="H232">
        <v>1028.55</v>
      </c>
      <c r="I232">
        <v>6.72</v>
      </c>
      <c r="J232">
        <v>16401.47</v>
      </c>
      <c r="K232">
        <v>-70.569999999999993</v>
      </c>
      <c r="L232">
        <v>99.57</v>
      </c>
    </row>
    <row r="233" spans="1:12" x14ac:dyDescent="0.3">
      <c r="A233" t="s">
        <v>19</v>
      </c>
      <c r="B233" t="s">
        <v>69</v>
      </c>
      <c r="C233" t="s">
        <v>70</v>
      </c>
      <c r="D233" t="s">
        <v>68</v>
      </c>
      <c r="E233" t="s">
        <v>39</v>
      </c>
      <c r="F233">
        <v>15557.15</v>
      </c>
      <c r="G233">
        <v>16330.9</v>
      </c>
      <c r="H233">
        <v>-773.75</v>
      </c>
      <c r="I233">
        <v>-4.74</v>
      </c>
      <c r="J233">
        <v>15207.2</v>
      </c>
      <c r="K233">
        <v>349.95</v>
      </c>
      <c r="L233">
        <v>102.3</v>
      </c>
    </row>
    <row r="234" spans="1:12" x14ac:dyDescent="0.3">
      <c r="A234" t="s">
        <v>20</v>
      </c>
      <c r="B234" t="s">
        <v>69</v>
      </c>
      <c r="C234" t="s">
        <v>70</v>
      </c>
      <c r="D234" t="s">
        <v>68</v>
      </c>
      <c r="E234" t="s">
        <v>39</v>
      </c>
      <c r="F234">
        <v>16801.57</v>
      </c>
      <c r="G234">
        <v>15557.15</v>
      </c>
      <c r="H234">
        <v>1244.42</v>
      </c>
      <c r="I234">
        <v>8</v>
      </c>
      <c r="J234">
        <v>16306.83</v>
      </c>
      <c r="K234">
        <v>494.74</v>
      </c>
      <c r="L234">
        <v>103.03</v>
      </c>
    </row>
    <row r="235" spans="1:12" x14ac:dyDescent="0.3">
      <c r="A235" t="s">
        <v>21</v>
      </c>
      <c r="B235" t="s">
        <v>69</v>
      </c>
      <c r="C235" t="s">
        <v>70</v>
      </c>
      <c r="D235" t="s">
        <v>68</v>
      </c>
      <c r="E235" t="s">
        <v>39</v>
      </c>
      <c r="F235">
        <v>16824.04</v>
      </c>
      <c r="G235">
        <v>16801.57</v>
      </c>
      <c r="H235">
        <v>22.47</v>
      </c>
      <c r="I235">
        <v>0.13</v>
      </c>
      <c r="J235">
        <v>17430.7</v>
      </c>
      <c r="K235">
        <v>-606.66</v>
      </c>
      <c r="L235">
        <v>96.52</v>
      </c>
    </row>
    <row r="236" spans="1:12" x14ac:dyDescent="0.3">
      <c r="A236" t="s">
        <v>22</v>
      </c>
      <c r="B236" t="s">
        <v>69</v>
      </c>
      <c r="C236" t="s">
        <v>70</v>
      </c>
      <c r="D236" t="s">
        <v>68</v>
      </c>
      <c r="E236" t="s">
        <v>39</v>
      </c>
      <c r="F236">
        <v>16522.22</v>
      </c>
      <c r="G236">
        <v>16824.04</v>
      </c>
      <c r="H236">
        <v>-301.82</v>
      </c>
      <c r="I236">
        <v>-1.79</v>
      </c>
      <c r="J236">
        <v>15582.26</v>
      </c>
      <c r="K236">
        <v>939.96</v>
      </c>
      <c r="L236">
        <v>106.03</v>
      </c>
    </row>
    <row r="237" spans="1:12" x14ac:dyDescent="0.3">
      <c r="A237" t="s">
        <v>23</v>
      </c>
      <c r="B237" t="s">
        <v>69</v>
      </c>
      <c r="C237" t="s">
        <v>70</v>
      </c>
      <c r="D237" t="s">
        <v>68</v>
      </c>
      <c r="E237" t="s">
        <v>39</v>
      </c>
      <c r="F237">
        <v>16683.45</v>
      </c>
      <c r="G237">
        <v>16522.22</v>
      </c>
      <c r="H237">
        <v>161.22999999999999</v>
      </c>
      <c r="I237">
        <v>0.98</v>
      </c>
      <c r="J237">
        <v>16122.18</v>
      </c>
      <c r="K237">
        <v>561.27</v>
      </c>
      <c r="L237">
        <v>103.48</v>
      </c>
    </row>
    <row r="238" spans="1:12" x14ac:dyDescent="0.3">
      <c r="A238" t="s">
        <v>24</v>
      </c>
      <c r="B238" t="s">
        <v>69</v>
      </c>
      <c r="C238" t="s">
        <v>70</v>
      </c>
      <c r="D238" t="s">
        <v>68</v>
      </c>
      <c r="E238" t="s">
        <v>39</v>
      </c>
      <c r="F238">
        <v>17414.419999999998</v>
      </c>
      <c r="G238">
        <v>16683.45</v>
      </c>
      <c r="H238">
        <v>730.97</v>
      </c>
      <c r="I238">
        <v>4.38</v>
      </c>
      <c r="J238">
        <v>16894.650000000001</v>
      </c>
      <c r="K238">
        <v>519.77</v>
      </c>
      <c r="L238">
        <v>103.08</v>
      </c>
    </row>
    <row r="239" spans="1:12" x14ac:dyDescent="0.3">
      <c r="A239" t="s">
        <v>25</v>
      </c>
      <c r="B239" t="s">
        <v>69</v>
      </c>
      <c r="C239" t="s">
        <v>70</v>
      </c>
      <c r="D239" t="s">
        <v>68</v>
      </c>
      <c r="E239" t="s">
        <v>39</v>
      </c>
      <c r="F239">
        <v>15688.69</v>
      </c>
      <c r="G239">
        <v>17414.419999999998</v>
      </c>
      <c r="H239">
        <v>-1725.73</v>
      </c>
      <c r="I239">
        <v>-9.91</v>
      </c>
      <c r="J239">
        <v>16334.65</v>
      </c>
      <c r="K239">
        <v>-645.96</v>
      </c>
      <c r="L239">
        <v>96.05</v>
      </c>
    </row>
    <row r="240" spans="1:12" x14ac:dyDescent="0.3">
      <c r="A240" t="s">
        <v>26</v>
      </c>
      <c r="B240" t="s">
        <v>69</v>
      </c>
      <c r="C240" t="s">
        <v>70</v>
      </c>
      <c r="D240" t="s">
        <v>68</v>
      </c>
      <c r="E240" t="s">
        <v>39</v>
      </c>
      <c r="F240">
        <v>15445.09</v>
      </c>
      <c r="G240">
        <v>15688.69</v>
      </c>
      <c r="H240">
        <v>-243.6</v>
      </c>
      <c r="I240">
        <v>-1.55</v>
      </c>
      <c r="J240">
        <v>15788.99</v>
      </c>
      <c r="K240">
        <v>-343.9</v>
      </c>
      <c r="L240">
        <v>97.82</v>
      </c>
    </row>
    <row r="241" spans="1:12" x14ac:dyDescent="0.3">
      <c r="A241" t="s">
        <v>27</v>
      </c>
      <c r="B241" t="s">
        <v>69</v>
      </c>
      <c r="C241" t="s">
        <v>70</v>
      </c>
      <c r="D241" t="s">
        <v>68</v>
      </c>
      <c r="E241" t="s">
        <v>39</v>
      </c>
      <c r="F241">
        <v>17186.919999999998</v>
      </c>
      <c r="G241">
        <v>15445.09</v>
      </c>
      <c r="H241">
        <v>1741.83</v>
      </c>
      <c r="I241">
        <v>11.28</v>
      </c>
      <c r="J241">
        <v>17261.18</v>
      </c>
      <c r="K241">
        <v>-74.260000000000005</v>
      </c>
      <c r="L241">
        <v>99.57</v>
      </c>
    </row>
    <row r="242" spans="1:12" x14ac:dyDescent="0.3">
      <c r="A242" t="s">
        <v>12</v>
      </c>
      <c r="B242" t="s">
        <v>71</v>
      </c>
      <c r="C242" t="s">
        <v>72</v>
      </c>
      <c r="D242" t="s">
        <v>68</v>
      </c>
      <c r="E242" t="s">
        <v>16</v>
      </c>
      <c r="F242">
        <v>15636.63</v>
      </c>
      <c r="J242">
        <v>15984.8</v>
      </c>
      <c r="K242">
        <v>-348.17</v>
      </c>
      <c r="L242">
        <v>97.82</v>
      </c>
    </row>
    <row r="243" spans="1:12" x14ac:dyDescent="0.3">
      <c r="A243" t="s">
        <v>17</v>
      </c>
      <c r="B243" t="s">
        <v>71</v>
      </c>
      <c r="C243" t="s">
        <v>72</v>
      </c>
      <c r="D243" t="s">
        <v>68</v>
      </c>
      <c r="E243" t="s">
        <v>16</v>
      </c>
      <c r="F243">
        <v>13289.31</v>
      </c>
      <c r="G243">
        <v>15636.63</v>
      </c>
      <c r="H243">
        <v>-2347.3200000000002</v>
      </c>
      <c r="I243">
        <v>-15.01</v>
      </c>
      <c r="J243">
        <v>13346.73</v>
      </c>
      <c r="K243">
        <v>-57.42</v>
      </c>
      <c r="L243">
        <v>99.57</v>
      </c>
    </row>
    <row r="244" spans="1:12" x14ac:dyDescent="0.3">
      <c r="A244" t="s">
        <v>18</v>
      </c>
      <c r="B244" t="s">
        <v>71</v>
      </c>
      <c r="C244" t="s">
        <v>72</v>
      </c>
      <c r="D244" t="s">
        <v>68</v>
      </c>
      <c r="E244" t="s">
        <v>16</v>
      </c>
      <c r="F244">
        <v>14868.66</v>
      </c>
      <c r="G244">
        <v>13289.31</v>
      </c>
      <c r="H244">
        <v>1579.35</v>
      </c>
      <c r="I244">
        <v>11.88</v>
      </c>
      <c r="J244">
        <v>14534.19</v>
      </c>
      <c r="K244">
        <v>334.47</v>
      </c>
      <c r="L244">
        <v>102.3</v>
      </c>
    </row>
    <row r="245" spans="1:12" x14ac:dyDescent="0.3">
      <c r="A245" t="s">
        <v>19</v>
      </c>
      <c r="B245" t="s">
        <v>71</v>
      </c>
      <c r="C245" t="s">
        <v>72</v>
      </c>
      <c r="D245" t="s">
        <v>68</v>
      </c>
      <c r="E245" t="s">
        <v>16</v>
      </c>
      <c r="F245">
        <v>14859</v>
      </c>
      <c r="G245">
        <v>14868.66</v>
      </c>
      <c r="H245">
        <v>-9.66</v>
      </c>
      <c r="I245">
        <v>-7.0000000000000007E-2</v>
      </c>
      <c r="J245">
        <v>14421.46</v>
      </c>
      <c r="K245">
        <v>437.54</v>
      </c>
      <c r="L245">
        <v>103.03</v>
      </c>
    </row>
    <row r="246" spans="1:12" x14ac:dyDescent="0.3">
      <c r="A246" t="s">
        <v>20</v>
      </c>
      <c r="B246" t="s">
        <v>71</v>
      </c>
      <c r="C246" t="s">
        <v>72</v>
      </c>
      <c r="D246" t="s">
        <v>68</v>
      </c>
      <c r="E246" t="s">
        <v>16</v>
      </c>
      <c r="F246">
        <v>16428.21</v>
      </c>
      <c r="G246">
        <v>14859</v>
      </c>
      <c r="H246">
        <v>1569.21</v>
      </c>
      <c r="I246">
        <v>10.56</v>
      </c>
      <c r="J246">
        <v>17020.599999999999</v>
      </c>
      <c r="K246">
        <v>-592.39</v>
      </c>
      <c r="L246">
        <v>96.52</v>
      </c>
    </row>
    <row r="247" spans="1:12" x14ac:dyDescent="0.3">
      <c r="A247" t="s">
        <v>21</v>
      </c>
      <c r="B247" t="s">
        <v>71</v>
      </c>
      <c r="C247" t="s">
        <v>72</v>
      </c>
      <c r="D247" t="s">
        <v>68</v>
      </c>
      <c r="E247" t="s">
        <v>16</v>
      </c>
      <c r="F247">
        <v>16074.92</v>
      </c>
      <c r="G247">
        <v>16428.21</v>
      </c>
      <c r="H247">
        <v>-353.29</v>
      </c>
      <c r="I247">
        <v>-2.15</v>
      </c>
      <c r="J247">
        <v>15160.41</v>
      </c>
      <c r="K247">
        <v>914.51</v>
      </c>
      <c r="L247">
        <v>106.03</v>
      </c>
    </row>
    <row r="248" spans="1:12" x14ac:dyDescent="0.3">
      <c r="A248" t="s">
        <v>22</v>
      </c>
      <c r="B248" t="s">
        <v>71</v>
      </c>
      <c r="C248" t="s">
        <v>72</v>
      </c>
      <c r="D248" t="s">
        <v>68</v>
      </c>
      <c r="E248" t="s">
        <v>16</v>
      </c>
      <c r="F248">
        <v>17677.68</v>
      </c>
      <c r="G248">
        <v>16074.92</v>
      </c>
      <c r="H248">
        <v>1602.76</v>
      </c>
      <c r="I248">
        <v>9.9700000000000006</v>
      </c>
      <c r="J248">
        <v>17082.96</v>
      </c>
      <c r="K248">
        <v>594.72</v>
      </c>
      <c r="L248">
        <v>103.48</v>
      </c>
    </row>
    <row r="249" spans="1:12" x14ac:dyDescent="0.3">
      <c r="A249" t="s">
        <v>23</v>
      </c>
      <c r="B249" t="s">
        <v>71</v>
      </c>
      <c r="C249" t="s">
        <v>72</v>
      </c>
      <c r="D249" t="s">
        <v>68</v>
      </c>
      <c r="E249" t="s">
        <v>16</v>
      </c>
      <c r="F249">
        <v>14627.81</v>
      </c>
      <c r="G249">
        <v>17677.68</v>
      </c>
      <c r="H249">
        <v>-3049.87</v>
      </c>
      <c r="I249">
        <v>-17.25</v>
      </c>
      <c r="J249">
        <v>14191.21</v>
      </c>
      <c r="K249">
        <v>436.6</v>
      </c>
      <c r="L249">
        <v>103.08</v>
      </c>
    </row>
    <row r="250" spans="1:12" x14ac:dyDescent="0.3">
      <c r="A250" t="s">
        <v>24</v>
      </c>
      <c r="B250" t="s">
        <v>71</v>
      </c>
      <c r="C250" t="s">
        <v>72</v>
      </c>
      <c r="D250" t="s">
        <v>68</v>
      </c>
      <c r="E250" t="s">
        <v>16</v>
      </c>
      <c r="F250">
        <v>15050.01</v>
      </c>
      <c r="G250">
        <v>14627.81</v>
      </c>
      <c r="H250">
        <v>422.2</v>
      </c>
      <c r="I250">
        <v>2.89</v>
      </c>
      <c r="J250">
        <v>14549.77</v>
      </c>
      <c r="K250">
        <v>500.24</v>
      </c>
      <c r="L250">
        <v>103.44</v>
      </c>
    </row>
    <row r="251" spans="1:12" x14ac:dyDescent="0.3">
      <c r="A251" t="s">
        <v>25</v>
      </c>
      <c r="B251" t="s">
        <v>71</v>
      </c>
      <c r="C251" t="s">
        <v>72</v>
      </c>
      <c r="D251" t="s">
        <v>68</v>
      </c>
      <c r="E251" t="s">
        <v>16</v>
      </c>
      <c r="F251">
        <v>15620.69</v>
      </c>
      <c r="G251">
        <v>15050.01</v>
      </c>
      <c r="H251">
        <v>570.67999999999995</v>
      </c>
      <c r="I251">
        <v>3.79</v>
      </c>
      <c r="J251">
        <v>15968.5</v>
      </c>
      <c r="K251">
        <v>-347.81</v>
      </c>
      <c r="L251">
        <v>97.82</v>
      </c>
    </row>
    <row r="252" spans="1:12" x14ac:dyDescent="0.3">
      <c r="A252" t="s">
        <v>26</v>
      </c>
      <c r="B252" t="s">
        <v>71</v>
      </c>
      <c r="C252" t="s">
        <v>72</v>
      </c>
      <c r="D252" t="s">
        <v>68</v>
      </c>
      <c r="E252" t="s">
        <v>16</v>
      </c>
      <c r="F252">
        <v>17677.009999999998</v>
      </c>
      <c r="G252">
        <v>15620.69</v>
      </c>
      <c r="H252">
        <v>2056.3200000000002</v>
      </c>
      <c r="I252">
        <v>13.16</v>
      </c>
      <c r="J252">
        <v>17753.39</v>
      </c>
      <c r="K252">
        <v>-76.38</v>
      </c>
      <c r="L252">
        <v>99.57</v>
      </c>
    </row>
    <row r="253" spans="1:12" x14ac:dyDescent="0.3">
      <c r="A253" t="s">
        <v>27</v>
      </c>
      <c r="B253" t="s">
        <v>71</v>
      </c>
      <c r="C253" t="s">
        <v>72</v>
      </c>
      <c r="D253" t="s">
        <v>68</v>
      </c>
      <c r="E253" t="s">
        <v>16</v>
      </c>
      <c r="F253">
        <v>15881.55</v>
      </c>
      <c r="G253">
        <v>17677.009999999998</v>
      </c>
      <c r="H253">
        <v>-1795.46</v>
      </c>
      <c r="I253">
        <v>-10.16</v>
      </c>
      <c r="J253">
        <v>15524.3</v>
      </c>
      <c r="K253">
        <v>357.25</v>
      </c>
      <c r="L253">
        <v>102.3</v>
      </c>
    </row>
    <row r="254" spans="1:12" x14ac:dyDescent="0.3">
      <c r="A254" t="s">
        <v>12</v>
      </c>
      <c r="B254" t="s">
        <v>73</v>
      </c>
      <c r="C254" t="s">
        <v>74</v>
      </c>
      <c r="D254" t="s">
        <v>68</v>
      </c>
      <c r="E254" t="s">
        <v>30</v>
      </c>
      <c r="F254">
        <v>16515.650000000001</v>
      </c>
      <c r="J254">
        <v>16587.009999999998</v>
      </c>
      <c r="K254">
        <v>-71.36</v>
      </c>
      <c r="L254">
        <v>99.57</v>
      </c>
    </row>
    <row r="255" spans="1:12" x14ac:dyDescent="0.3">
      <c r="A255" t="s">
        <v>17</v>
      </c>
      <c r="B255" t="s">
        <v>73</v>
      </c>
      <c r="C255" t="s">
        <v>74</v>
      </c>
      <c r="D255" t="s">
        <v>68</v>
      </c>
      <c r="E255" t="s">
        <v>30</v>
      </c>
      <c r="F255">
        <v>14854.06</v>
      </c>
      <c r="G255">
        <v>16515.650000000001</v>
      </c>
      <c r="H255">
        <v>-1661.59</v>
      </c>
      <c r="I255">
        <v>-10.06</v>
      </c>
      <c r="J255">
        <v>14519.92</v>
      </c>
      <c r="K255">
        <v>334.14</v>
      </c>
      <c r="L255">
        <v>102.3</v>
      </c>
    </row>
    <row r="256" spans="1:12" x14ac:dyDescent="0.3">
      <c r="A256" t="s">
        <v>18</v>
      </c>
      <c r="B256" t="s">
        <v>73</v>
      </c>
      <c r="C256" t="s">
        <v>74</v>
      </c>
      <c r="D256" t="s">
        <v>68</v>
      </c>
      <c r="E256" t="s">
        <v>30</v>
      </c>
      <c r="F256">
        <v>15623.62</v>
      </c>
      <c r="G256">
        <v>14854.06</v>
      </c>
      <c r="H256">
        <v>769.56</v>
      </c>
      <c r="I256">
        <v>5.18</v>
      </c>
      <c r="J256">
        <v>15163.57</v>
      </c>
      <c r="K256">
        <v>460.05</v>
      </c>
      <c r="L256">
        <v>103.03</v>
      </c>
    </row>
    <row r="257" spans="1:12" x14ac:dyDescent="0.3">
      <c r="A257" t="s">
        <v>19</v>
      </c>
      <c r="B257" t="s">
        <v>73</v>
      </c>
      <c r="C257" t="s">
        <v>74</v>
      </c>
      <c r="D257" t="s">
        <v>68</v>
      </c>
      <c r="E257" t="s">
        <v>30</v>
      </c>
      <c r="F257">
        <v>15744.03</v>
      </c>
      <c r="G257">
        <v>15623.62</v>
      </c>
      <c r="H257">
        <v>120.41</v>
      </c>
      <c r="I257">
        <v>0.77</v>
      </c>
      <c r="J257">
        <v>16311.75</v>
      </c>
      <c r="K257">
        <v>-567.72</v>
      </c>
      <c r="L257">
        <v>96.52</v>
      </c>
    </row>
    <row r="258" spans="1:12" x14ac:dyDescent="0.3">
      <c r="A258" t="s">
        <v>20</v>
      </c>
      <c r="B258" t="s">
        <v>73</v>
      </c>
      <c r="C258" t="s">
        <v>74</v>
      </c>
      <c r="D258" t="s">
        <v>68</v>
      </c>
      <c r="E258" t="s">
        <v>30</v>
      </c>
      <c r="F258">
        <v>17899.62</v>
      </c>
      <c r="G258">
        <v>15744.03</v>
      </c>
      <c r="H258">
        <v>2155.59</v>
      </c>
      <c r="I258">
        <v>13.69</v>
      </c>
      <c r="J258">
        <v>16881.3</v>
      </c>
      <c r="K258">
        <v>1018.32</v>
      </c>
      <c r="L258">
        <v>106.03</v>
      </c>
    </row>
    <row r="259" spans="1:12" x14ac:dyDescent="0.3">
      <c r="A259" t="s">
        <v>21</v>
      </c>
      <c r="B259" t="s">
        <v>73</v>
      </c>
      <c r="C259" t="s">
        <v>74</v>
      </c>
      <c r="D259" t="s">
        <v>68</v>
      </c>
      <c r="E259" t="s">
        <v>30</v>
      </c>
      <c r="F259">
        <v>14591.75</v>
      </c>
      <c r="G259">
        <v>17899.62</v>
      </c>
      <c r="H259">
        <v>-3307.87</v>
      </c>
      <c r="I259">
        <v>-18.48</v>
      </c>
      <c r="J259">
        <v>14100.85</v>
      </c>
      <c r="K259">
        <v>490.9</v>
      </c>
      <c r="L259">
        <v>103.48</v>
      </c>
    </row>
    <row r="260" spans="1:12" x14ac:dyDescent="0.3">
      <c r="A260" t="s">
        <v>22</v>
      </c>
      <c r="B260" t="s">
        <v>73</v>
      </c>
      <c r="C260" t="s">
        <v>74</v>
      </c>
      <c r="D260" t="s">
        <v>68</v>
      </c>
      <c r="E260" t="s">
        <v>30</v>
      </c>
      <c r="F260">
        <v>17098.07</v>
      </c>
      <c r="G260">
        <v>14591.75</v>
      </c>
      <c r="H260">
        <v>2506.3200000000002</v>
      </c>
      <c r="I260">
        <v>17.18</v>
      </c>
      <c r="J260">
        <v>16587.740000000002</v>
      </c>
      <c r="K260">
        <v>510.33</v>
      </c>
      <c r="L260">
        <v>103.08</v>
      </c>
    </row>
    <row r="261" spans="1:12" x14ac:dyDescent="0.3">
      <c r="A261" t="s">
        <v>23</v>
      </c>
      <c r="B261" t="s">
        <v>73</v>
      </c>
      <c r="C261" t="s">
        <v>74</v>
      </c>
      <c r="D261" t="s">
        <v>68</v>
      </c>
      <c r="E261" t="s">
        <v>30</v>
      </c>
      <c r="F261">
        <v>17387.55</v>
      </c>
      <c r="G261">
        <v>17098.07</v>
      </c>
      <c r="H261">
        <v>289.48</v>
      </c>
      <c r="I261">
        <v>1.69</v>
      </c>
      <c r="J261">
        <v>16809.61</v>
      </c>
      <c r="K261">
        <v>577.94000000000005</v>
      </c>
      <c r="L261">
        <v>103.44</v>
      </c>
    </row>
    <row r="262" spans="1:12" x14ac:dyDescent="0.3">
      <c r="A262" t="s">
        <v>24</v>
      </c>
      <c r="B262" t="s">
        <v>73</v>
      </c>
      <c r="C262" t="s">
        <v>74</v>
      </c>
      <c r="D262" t="s">
        <v>68</v>
      </c>
      <c r="E262" t="s">
        <v>30</v>
      </c>
      <c r="F262">
        <v>15473.58</v>
      </c>
      <c r="G262">
        <v>17387.55</v>
      </c>
      <c r="H262">
        <v>-1913.97</v>
      </c>
      <c r="I262">
        <v>-11.01</v>
      </c>
      <c r="J262">
        <v>15668.41</v>
      </c>
      <c r="K262">
        <v>-194.83</v>
      </c>
      <c r="L262">
        <v>98.76</v>
      </c>
    </row>
    <row r="263" spans="1:12" x14ac:dyDescent="0.3">
      <c r="A263" t="s">
        <v>25</v>
      </c>
      <c r="B263" t="s">
        <v>73</v>
      </c>
      <c r="C263" t="s">
        <v>74</v>
      </c>
      <c r="D263" t="s">
        <v>68</v>
      </c>
      <c r="E263" t="s">
        <v>30</v>
      </c>
      <c r="F263">
        <v>17250.32</v>
      </c>
      <c r="G263">
        <v>15473.58</v>
      </c>
      <c r="H263">
        <v>1776.74</v>
      </c>
      <c r="I263">
        <v>11.48</v>
      </c>
      <c r="J263">
        <v>17324.86</v>
      </c>
      <c r="K263">
        <v>-74.540000000000006</v>
      </c>
      <c r="L263">
        <v>99.57</v>
      </c>
    </row>
    <row r="264" spans="1:12" x14ac:dyDescent="0.3">
      <c r="A264" t="s">
        <v>26</v>
      </c>
      <c r="B264" t="s">
        <v>73</v>
      </c>
      <c r="C264" t="s">
        <v>74</v>
      </c>
      <c r="D264" t="s">
        <v>68</v>
      </c>
      <c r="E264" t="s">
        <v>30</v>
      </c>
      <c r="F264">
        <v>14711.04</v>
      </c>
      <c r="G264">
        <v>17250.32</v>
      </c>
      <c r="H264">
        <v>-2539.2800000000002</v>
      </c>
      <c r="I264">
        <v>-14.72</v>
      </c>
      <c r="J264">
        <v>14380.12</v>
      </c>
      <c r="K264">
        <v>330.92</v>
      </c>
      <c r="L264">
        <v>102.3</v>
      </c>
    </row>
    <row r="265" spans="1:12" x14ac:dyDescent="0.3">
      <c r="A265" t="s">
        <v>27</v>
      </c>
      <c r="B265" t="s">
        <v>73</v>
      </c>
      <c r="C265" t="s">
        <v>74</v>
      </c>
      <c r="D265" t="s">
        <v>68</v>
      </c>
      <c r="E265" t="s">
        <v>30</v>
      </c>
      <c r="F265">
        <v>16722.310000000001</v>
      </c>
      <c r="G265">
        <v>14711.04</v>
      </c>
      <c r="H265">
        <v>2011.27</v>
      </c>
      <c r="I265">
        <v>13.67</v>
      </c>
      <c r="J265">
        <v>16229.9</v>
      </c>
      <c r="K265">
        <v>492.41</v>
      </c>
      <c r="L265">
        <v>103.03</v>
      </c>
    </row>
    <row r="266" spans="1:12" x14ac:dyDescent="0.3">
      <c r="A266" t="s">
        <v>18</v>
      </c>
      <c r="B266" t="s">
        <v>75</v>
      </c>
      <c r="C266" t="s">
        <v>76</v>
      </c>
      <c r="D266" t="s">
        <v>68</v>
      </c>
      <c r="E266" t="s">
        <v>33</v>
      </c>
      <c r="F266">
        <v>13521.25</v>
      </c>
      <c r="J266">
        <v>14008.82</v>
      </c>
      <c r="K266">
        <v>-487.57</v>
      </c>
      <c r="L266">
        <v>96.52</v>
      </c>
    </row>
    <row r="267" spans="1:12" x14ac:dyDescent="0.3">
      <c r="A267" t="s">
        <v>19</v>
      </c>
      <c r="B267" t="s">
        <v>75</v>
      </c>
      <c r="C267" t="s">
        <v>76</v>
      </c>
      <c r="D267" t="s">
        <v>68</v>
      </c>
      <c r="E267" t="s">
        <v>33</v>
      </c>
      <c r="F267">
        <v>21067.42</v>
      </c>
      <c r="G267">
        <v>13521.25</v>
      </c>
      <c r="H267">
        <v>7546.17</v>
      </c>
      <c r="I267">
        <v>55.81</v>
      </c>
      <c r="J267">
        <v>19868.88</v>
      </c>
      <c r="K267">
        <v>1198.54</v>
      </c>
      <c r="L267">
        <v>106.03</v>
      </c>
    </row>
    <row r="268" spans="1:12" x14ac:dyDescent="0.3">
      <c r="A268" t="s">
        <v>20</v>
      </c>
      <c r="B268" t="s">
        <v>75</v>
      </c>
      <c r="C268" t="s">
        <v>76</v>
      </c>
      <c r="D268" t="s">
        <v>68</v>
      </c>
      <c r="E268" t="s">
        <v>33</v>
      </c>
      <c r="F268">
        <v>19866.91</v>
      </c>
      <c r="G268">
        <v>21067.42</v>
      </c>
      <c r="H268">
        <v>-1200.51</v>
      </c>
      <c r="I268">
        <v>-5.7</v>
      </c>
      <c r="J268">
        <v>19198.54</v>
      </c>
      <c r="K268">
        <v>668.37</v>
      </c>
      <c r="L268">
        <v>103.48</v>
      </c>
    </row>
    <row r="269" spans="1:12" x14ac:dyDescent="0.3">
      <c r="A269" t="s">
        <v>21</v>
      </c>
      <c r="B269" t="s">
        <v>75</v>
      </c>
      <c r="C269" t="s">
        <v>76</v>
      </c>
      <c r="D269" t="s">
        <v>68</v>
      </c>
      <c r="E269" t="s">
        <v>33</v>
      </c>
      <c r="F269">
        <v>18582.689999999999</v>
      </c>
      <c r="G269">
        <v>19866.91</v>
      </c>
      <c r="H269">
        <v>-1284.22</v>
      </c>
      <c r="I269">
        <v>-6.46</v>
      </c>
      <c r="J269">
        <v>18028.05</v>
      </c>
      <c r="K269">
        <v>554.64</v>
      </c>
      <c r="L269">
        <v>103.08</v>
      </c>
    </row>
    <row r="270" spans="1:12" x14ac:dyDescent="0.3">
      <c r="A270" t="s">
        <v>22</v>
      </c>
      <c r="B270" t="s">
        <v>75</v>
      </c>
      <c r="C270" t="s">
        <v>76</v>
      </c>
      <c r="D270" t="s">
        <v>68</v>
      </c>
      <c r="E270" t="s">
        <v>33</v>
      </c>
      <c r="F270">
        <v>19827.14</v>
      </c>
      <c r="G270">
        <v>18582.689999999999</v>
      </c>
      <c r="H270">
        <v>1244.45</v>
      </c>
      <c r="I270">
        <v>6.7</v>
      </c>
      <c r="J270">
        <v>19168.12</v>
      </c>
      <c r="K270">
        <v>659.02</v>
      </c>
      <c r="L270">
        <v>103.44</v>
      </c>
    </row>
    <row r="271" spans="1:12" x14ac:dyDescent="0.3">
      <c r="A271" t="s">
        <v>23</v>
      </c>
      <c r="B271" t="s">
        <v>75</v>
      </c>
      <c r="C271" t="s">
        <v>76</v>
      </c>
      <c r="D271" t="s">
        <v>68</v>
      </c>
      <c r="E271" t="s">
        <v>33</v>
      </c>
      <c r="F271">
        <v>18941.349999999999</v>
      </c>
      <c r="G271">
        <v>19827.14</v>
      </c>
      <c r="H271">
        <v>-885.79</v>
      </c>
      <c r="I271">
        <v>-4.47</v>
      </c>
      <c r="J271">
        <v>19179.849999999999</v>
      </c>
      <c r="K271">
        <v>-238.5</v>
      </c>
      <c r="L271">
        <v>98.76</v>
      </c>
    </row>
    <row r="272" spans="1:12" x14ac:dyDescent="0.3">
      <c r="A272" t="s">
        <v>24</v>
      </c>
      <c r="B272" t="s">
        <v>75</v>
      </c>
      <c r="C272" t="s">
        <v>76</v>
      </c>
      <c r="D272" t="s">
        <v>68</v>
      </c>
      <c r="E272" t="s">
        <v>33</v>
      </c>
      <c r="F272">
        <v>16431.18</v>
      </c>
      <c r="G272">
        <v>18941.349999999999</v>
      </c>
      <c r="H272">
        <v>-2510.17</v>
      </c>
      <c r="I272">
        <v>-13.25</v>
      </c>
      <c r="J272">
        <v>16759.599999999999</v>
      </c>
      <c r="K272">
        <v>-328.42</v>
      </c>
      <c r="L272">
        <v>98.04</v>
      </c>
    </row>
    <row r="273" spans="1:12" x14ac:dyDescent="0.3">
      <c r="A273" t="s">
        <v>25</v>
      </c>
      <c r="B273" t="s">
        <v>75</v>
      </c>
      <c r="C273" t="s">
        <v>76</v>
      </c>
      <c r="D273" t="s">
        <v>68</v>
      </c>
      <c r="E273" t="s">
        <v>33</v>
      </c>
      <c r="F273">
        <v>19495.419999999998</v>
      </c>
      <c r="G273">
        <v>16431.18</v>
      </c>
      <c r="H273">
        <v>3064.24</v>
      </c>
      <c r="I273">
        <v>18.649999999999999</v>
      </c>
      <c r="J273">
        <v>19056.88</v>
      </c>
      <c r="K273">
        <v>438.54</v>
      </c>
      <c r="L273">
        <v>102.3</v>
      </c>
    </row>
    <row r="274" spans="1:12" x14ac:dyDescent="0.3">
      <c r="A274" t="s">
        <v>26</v>
      </c>
      <c r="B274" t="s">
        <v>75</v>
      </c>
      <c r="C274" t="s">
        <v>76</v>
      </c>
      <c r="D274" t="s">
        <v>68</v>
      </c>
      <c r="E274" t="s">
        <v>33</v>
      </c>
      <c r="F274">
        <v>17731.64</v>
      </c>
      <c r="G274">
        <v>19495.419999999998</v>
      </c>
      <c r="H274">
        <v>-1763.78</v>
      </c>
      <c r="I274">
        <v>-9.0500000000000007</v>
      </c>
      <c r="J274">
        <v>17209.509999999998</v>
      </c>
      <c r="K274">
        <v>522.13</v>
      </c>
      <c r="L274">
        <v>103.03</v>
      </c>
    </row>
    <row r="275" spans="1:12" x14ac:dyDescent="0.3">
      <c r="A275" t="s">
        <v>27</v>
      </c>
      <c r="B275" t="s">
        <v>75</v>
      </c>
      <c r="C275" t="s">
        <v>76</v>
      </c>
      <c r="D275" t="s">
        <v>68</v>
      </c>
      <c r="E275" t="s">
        <v>33</v>
      </c>
      <c r="F275">
        <v>20179.38</v>
      </c>
      <c r="G275">
        <v>17731.64</v>
      </c>
      <c r="H275">
        <v>2447.7399999999998</v>
      </c>
      <c r="I275">
        <v>13.8</v>
      </c>
      <c r="J275">
        <v>20907.03</v>
      </c>
      <c r="K275">
        <v>-727.65</v>
      </c>
      <c r="L275">
        <v>96.52</v>
      </c>
    </row>
    <row r="276" spans="1:12" x14ac:dyDescent="0.3">
      <c r="A276" t="s">
        <v>22</v>
      </c>
      <c r="B276" t="s">
        <v>77</v>
      </c>
      <c r="C276" t="s">
        <v>78</v>
      </c>
      <c r="D276" t="s">
        <v>68</v>
      </c>
      <c r="E276" t="s">
        <v>36</v>
      </c>
      <c r="F276">
        <v>25887.439999999999</v>
      </c>
      <c r="J276">
        <v>26213.4</v>
      </c>
      <c r="K276">
        <v>-325.95999999999998</v>
      </c>
      <c r="L276">
        <v>98.76</v>
      </c>
    </row>
    <row r="277" spans="1:12" x14ac:dyDescent="0.3">
      <c r="A277" t="s">
        <v>23</v>
      </c>
      <c r="B277" t="s">
        <v>77</v>
      </c>
      <c r="C277" t="s">
        <v>78</v>
      </c>
      <c r="D277" t="s">
        <v>68</v>
      </c>
      <c r="E277" t="s">
        <v>36</v>
      </c>
      <c r="F277">
        <v>35176.269999999997</v>
      </c>
      <c r="G277">
        <v>25887.439999999999</v>
      </c>
      <c r="H277">
        <v>9288.83</v>
      </c>
      <c r="I277">
        <v>35.880000000000003</v>
      </c>
      <c r="J277">
        <v>35879.360000000001</v>
      </c>
      <c r="K277">
        <v>-703.09</v>
      </c>
      <c r="L277">
        <v>98.04</v>
      </c>
    </row>
    <row r="278" spans="1:12" x14ac:dyDescent="0.3">
      <c r="A278" t="s">
        <v>24</v>
      </c>
      <c r="B278" t="s">
        <v>77</v>
      </c>
      <c r="C278" t="s">
        <v>78</v>
      </c>
      <c r="D278" t="s">
        <v>68</v>
      </c>
      <c r="E278" t="s">
        <v>36</v>
      </c>
      <c r="F278">
        <v>31427.16</v>
      </c>
      <c r="G278">
        <v>35176.269999999997</v>
      </c>
      <c r="H278">
        <v>-3749.11</v>
      </c>
      <c r="I278">
        <v>-10.66</v>
      </c>
      <c r="J278">
        <v>32831.43</v>
      </c>
      <c r="K278">
        <v>-1404.27</v>
      </c>
      <c r="L278">
        <v>95.72</v>
      </c>
    </row>
    <row r="279" spans="1:12" x14ac:dyDescent="0.3">
      <c r="A279" t="s">
        <v>25</v>
      </c>
      <c r="B279" t="s">
        <v>77</v>
      </c>
      <c r="C279" t="s">
        <v>78</v>
      </c>
      <c r="D279" t="s">
        <v>68</v>
      </c>
      <c r="E279" t="s">
        <v>36</v>
      </c>
      <c r="F279">
        <v>35363.69</v>
      </c>
      <c r="G279">
        <v>31427.16</v>
      </c>
      <c r="H279">
        <v>3936.53</v>
      </c>
      <c r="I279">
        <v>12.53</v>
      </c>
      <c r="J279">
        <v>34322.370000000003</v>
      </c>
      <c r="K279">
        <v>1041.32</v>
      </c>
      <c r="L279">
        <v>103.03</v>
      </c>
    </row>
    <row r="280" spans="1:12" x14ac:dyDescent="0.3">
      <c r="A280" t="s">
        <v>26</v>
      </c>
      <c r="B280" t="s">
        <v>77</v>
      </c>
      <c r="C280" t="s">
        <v>78</v>
      </c>
      <c r="D280" t="s">
        <v>68</v>
      </c>
      <c r="E280" t="s">
        <v>36</v>
      </c>
      <c r="F280">
        <v>31496.46</v>
      </c>
      <c r="G280">
        <v>35363.69</v>
      </c>
      <c r="H280">
        <v>-3867.23</v>
      </c>
      <c r="I280">
        <v>-10.94</v>
      </c>
      <c r="J280">
        <v>32632.2</v>
      </c>
      <c r="K280">
        <v>-1135.74</v>
      </c>
      <c r="L280">
        <v>96.52</v>
      </c>
    </row>
    <row r="281" spans="1:12" x14ac:dyDescent="0.3">
      <c r="A281" t="s">
        <v>27</v>
      </c>
      <c r="B281" t="s">
        <v>77</v>
      </c>
      <c r="C281" t="s">
        <v>78</v>
      </c>
      <c r="D281" t="s">
        <v>68</v>
      </c>
      <c r="E281" t="s">
        <v>36</v>
      </c>
      <c r="F281">
        <v>32425.55</v>
      </c>
      <c r="G281">
        <v>31496.46</v>
      </c>
      <c r="H281">
        <v>929.09</v>
      </c>
      <c r="I281">
        <v>2.95</v>
      </c>
      <c r="J281">
        <v>30580.84</v>
      </c>
      <c r="K281">
        <v>1844.71</v>
      </c>
      <c r="L281">
        <v>106.03</v>
      </c>
    </row>
    <row r="282" spans="1:12" x14ac:dyDescent="0.3">
      <c r="A282" t="s">
        <v>18</v>
      </c>
      <c r="B282" t="s">
        <v>79</v>
      </c>
      <c r="C282" t="s">
        <v>80</v>
      </c>
      <c r="D282" t="s">
        <v>68</v>
      </c>
      <c r="E282" t="s">
        <v>39</v>
      </c>
      <c r="F282">
        <v>17987.240000000002</v>
      </c>
      <c r="J282">
        <v>17382.11</v>
      </c>
      <c r="K282">
        <v>605.13</v>
      </c>
      <c r="L282">
        <v>103.48</v>
      </c>
    </row>
    <row r="283" spans="1:12" x14ac:dyDescent="0.3">
      <c r="A283" t="s">
        <v>19</v>
      </c>
      <c r="B283" t="s">
        <v>79</v>
      </c>
      <c r="C283" t="s">
        <v>80</v>
      </c>
      <c r="D283" t="s">
        <v>68</v>
      </c>
      <c r="E283" t="s">
        <v>39</v>
      </c>
      <c r="F283">
        <v>16946.43</v>
      </c>
      <c r="G283">
        <v>17987.240000000002</v>
      </c>
      <c r="H283">
        <v>-1040.81</v>
      </c>
      <c r="I283">
        <v>-5.79</v>
      </c>
      <c r="J283">
        <v>16440.63</v>
      </c>
      <c r="K283">
        <v>505.8</v>
      </c>
      <c r="L283">
        <v>103.08</v>
      </c>
    </row>
    <row r="284" spans="1:12" x14ac:dyDescent="0.3">
      <c r="A284" t="s">
        <v>20</v>
      </c>
      <c r="B284" t="s">
        <v>79</v>
      </c>
      <c r="C284" t="s">
        <v>80</v>
      </c>
      <c r="D284" t="s">
        <v>68</v>
      </c>
      <c r="E284" t="s">
        <v>39</v>
      </c>
      <c r="F284">
        <v>19247.41</v>
      </c>
      <c r="G284">
        <v>16946.43</v>
      </c>
      <c r="H284">
        <v>2300.98</v>
      </c>
      <c r="I284">
        <v>13.58</v>
      </c>
      <c r="J284">
        <v>18607.650000000001</v>
      </c>
      <c r="K284">
        <v>639.76</v>
      </c>
      <c r="L284">
        <v>103.44</v>
      </c>
    </row>
    <row r="285" spans="1:12" x14ac:dyDescent="0.3">
      <c r="A285" t="s">
        <v>21</v>
      </c>
      <c r="B285" t="s">
        <v>79</v>
      </c>
      <c r="C285" t="s">
        <v>80</v>
      </c>
      <c r="D285" t="s">
        <v>68</v>
      </c>
      <c r="E285" t="s">
        <v>39</v>
      </c>
      <c r="F285">
        <v>17998.169999999998</v>
      </c>
      <c r="G285">
        <v>19247.41</v>
      </c>
      <c r="H285">
        <v>-1249.24</v>
      </c>
      <c r="I285">
        <v>-6.49</v>
      </c>
      <c r="J285">
        <v>18224.79</v>
      </c>
      <c r="K285">
        <v>-226.62</v>
      </c>
      <c r="L285">
        <v>98.76</v>
      </c>
    </row>
    <row r="286" spans="1:12" x14ac:dyDescent="0.3">
      <c r="A286" t="s">
        <v>22</v>
      </c>
      <c r="B286" t="s">
        <v>79</v>
      </c>
      <c r="C286" t="s">
        <v>80</v>
      </c>
      <c r="D286" t="s">
        <v>68</v>
      </c>
      <c r="E286" t="s">
        <v>39</v>
      </c>
      <c r="F286">
        <v>19473.2</v>
      </c>
      <c r="G286">
        <v>17998.169999999998</v>
      </c>
      <c r="H286">
        <v>1475.03</v>
      </c>
      <c r="I286">
        <v>8.1999999999999993</v>
      </c>
      <c r="J286">
        <v>19862.43</v>
      </c>
      <c r="K286">
        <v>-389.23</v>
      </c>
      <c r="L286">
        <v>98.04</v>
      </c>
    </row>
    <row r="287" spans="1:12" x14ac:dyDescent="0.3">
      <c r="A287" t="s">
        <v>23</v>
      </c>
      <c r="B287" t="s">
        <v>79</v>
      </c>
      <c r="C287" t="s">
        <v>80</v>
      </c>
      <c r="D287" t="s">
        <v>68</v>
      </c>
      <c r="E287" t="s">
        <v>39</v>
      </c>
      <c r="F287">
        <v>21522.58</v>
      </c>
      <c r="G287">
        <v>19473.2</v>
      </c>
      <c r="H287">
        <v>2049.38</v>
      </c>
      <c r="I287">
        <v>10.52</v>
      </c>
      <c r="J287">
        <v>22484.28</v>
      </c>
      <c r="K287">
        <v>-961.7</v>
      </c>
      <c r="L287">
        <v>95.72</v>
      </c>
    </row>
    <row r="288" spans="1:12" x14ac:dyDescent="0.3">
      <c r="A288" t="s">
        <v>24</v>
      </c>
      <c r="B288" t="s">
        <v>79</v>
      </c>
      <c r="C288" t="s">
        <v>80</v>
      </c>
      <c r="D288" t="s">
        <v>68</v>
      </c>
      <c r="E288" t="s">
        <v>39</v>
      </c>
      <c r="F288">
        <v>18263.330000000002</v>
      </c>
      <c r="G288">
        <v>21522.58</v>
      </c>
      <c r="H288">
        <v>-3259.25</v>
      </c>
      <c r="I288">
        <v>-15.14</v>
      </c>
      <c r="J288">
        <v>18404.330000000002</v>
      </c>
      <c r="K288">
        <v>-141</v>
      </c>
      <c r="L288">
        <v>99.23</v>
      </c>
    </row>
    <row r="289" spans="1:12" x14ac:dyDescent="0.3">
      <c r="A289" t="s">
        <v>25</v>
      </c>
      <c r="B289" t="s">
        <v>79</v>
      </c>
      <c r="C289" t="s">
        <v>80</v>
      </c>
      <c r="D289" t="s">
        <v>68</v>
      </c>
      <c r="E289" t="s">
        <v>39</v>
      </c>
      <c r="F289">
        <v>17783.64</v>
      </c>
      <c r="G289">
        <v>18263.330000000002</v>
      </c>
      <c r="H289">
        <v>-479.69</v>
      </c>
      <c r="I289">
        <v>-2.63</v>
      </c>
      <c r="J289">
        <v>18424.91</v>
      </c>
      <c r="K289">
        <v>-641.27</v>
      </c>
      <c r="L289">
        <v>96.52</v>
      </c>
    </row>
    <row r="290" spans="1:12" x14ac:dyDescent="0.3">
      <c r="A290" t="s">
        <v>26</v>
      </c>
      <c r="B290" t="s">
        <v>79</v>
      </c>
      <c r="C290" t="s">
        <v>80</v>
      </c>
      <c r="D290" t="s">
        <v>68</v>
      </c>
      <c r="E290" t="s">
        <v>39</v>
      </c>
      <c r="F290">
        <v>18246.96</v>
      </c>
      <c r="G290">
        <v>17783.64</v>
      </c>
      <c r="H290">
        <v>463.32</v>
      </c>
      <c r="I290">
        <v>2.61</v>
      </c>
      <c r="J290">
        <v>17208.88</v>
      </c>
      <c r="K290">
        <v>1038.08</v>
      </c>
      <c r="L290">
        <v>106.03</v>
      </c>
    </row>
    <row r="291" spans="1:12" x14ac:dyDescent="0.3">
      <c r="A291" t="s">
        <v>27</v>
      </c>
      <c r="B291" t="s">
        <v>79</v>
      </c>
      <c r="C291" t="s">
        <v>80</v>
      </c>
      <c r="D291" t="s">
        <v>68</v>
      </c>
      <c r="E291" t="s">
        <v>39</v>
      </c>
      <c r="F291">
        <v>19165.48</v>
      </c>
      <c r="G291">
        <v>18246.96</v>
      </c>
      <c r="H291">
        <v>918.52</v>
      </c>
      <c r="I291">
        <v>5.03</v>
      </c>
      <c r="J291">
        <v>18520.71</v>
      </c>
      <c r="K291">
        <v>644.77</v>
      </c>
      <c r="L291">
        <v>103.48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F31B-F9E8-45E1-86EB-8C25E19AE99C}">
  <dimension ref="A1:T13"/>
  <sheetViews>
    <sheetView topLeftCell="O1" workbookViewId="0">
      <selection activeCell="J18" sqref="J18"/>
    </sheetView>
  </sheetViews>
  <sheetFormatPr defaultRowHeight="14.4" x14ac:dyDescent="0.3"/>
  <cols>
    <col min="1" max="1" width="12.88671875" bestFit="1" customWidth="1"/>
    <col min="2" max="2" width="11" bestFit="1" customWidth="1"/>
    <col min="3" max="3" width="21.77734375" bestFit="1" customWidth="1"/>
    <col min="4" max="4" width="16.33203125" bestFit="1" customWidth="1"/>
    <col min="5" max="5" width="13.5546875" bestFit="1" customWidth="1"/>
    <col min="6" max="6" width="22.44140625" bestFit="1" customWidth="1"/>
    <col min="7" max="7" width="11.6640625" bestFit="1" customWidth="1"/>
    <col min="8" max="8" width="21.6640625" bestFit="1" customWidth="1"/>
    <col min="9" max="9" width="14.44140625" bestFit="1" customWidth="1"/>
    <col min="10" max="10" width="21.33203125" bestFit="1" customWidth="1"/>
    <col min="11" max="11" width="14.6640625" bestFit="1" customWidth="1"/>
    <col min="12" max="12" width="17.44140625" bestFit="1" customWidth="1"/>
    <col min="13" max="13" width="14.88671875" bestFit="1" customWidth="1"/>
    <col min="14" max="14" width="13.21875" bestFit="1" customWidth="1"/>
    <col min="15" max="15" width="15.88671875" bestFit="1" customWidth="1"/>
    <col min="16" max="16" width="23.5546875" bestFit="1" customWidth="1"/>
    <col min="17" max="17" width="14.44140625" bestFit="1" customWidth="1"/>
    <col min="18" max="18" width="16.77734375" bestFit="1" customWidth="1"/>
    <col min="19" max="19" width="19.44140625" bestFit="1" customWidth="1"/>
    <col min="20" max="20" width="27" bestFit="1" customWidth="1"/>
  </cols>
  <sheetData>
    <row r="1" spans="1:20" x14ac:dyDescent="0.3">
      <c r="A1" t="s">
        <v>0</v>
      </c>
      <c r="B1" t="s">
        <v>5</v>
      </c>
      <c r="C1" t="s">
        <v>6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</v>
      </c>
      <c r="O1" t="s">
        <v>10</v>
      </c>
      <c r="P1" t="s">
        <v>11</v>
      </c>
      <c r="Q1" t="s">
        <v>91</v>
      </c>
      <c r="R1" t="s">
        <v>92</v>
      </c>
      <c r="S1" t="s">
        <v>93</v>
      </c>
      <c r="T1" t="s">
        <v>94</v>
      </c>
    </row>
    <row r="2" spans="1:20" x14ac:dyDescent="0.3">
      <c r="A2" t="s">
        <v>12</v>
      </c>
      <c r="B2">
        <v>347199.18</v>
      </c>
      <c r="E2">
        <v>8565</v>
      </c>
      <c r="G2">
        <v>43910</v>
      </c>
      <c r="H2">
        <v>40.54</v>
      </c>
      <c r="J2">
        <v>5.13</v>
      </c>
      <c r="L2">
        <v>7.91</v>
      </c>
      <c r="N2">
        <v>348047.53</v>
      </c>
      <c r="O2">
        <v>-848.35</v>
      </c>
      <c r="P2">
        <v>99.76</v>
      </c>
      <c r="Q2">
        <v>347199.18</v>
      </c>
      <c r="R2">
        <v>348047.53</v>
      </c>
      <c r="S2">
        <v>-848.35</v>
      </c>
      <c r="T2">
        <v>99.76</v>
      </c>
    </row>
    <row r="3" spans="1:20" x14ac:dyDescent="0.3">
      <c r="A3" t="s">
        <v>17</v>
      </c>
      <c r="B3">
        <v>317297.71000000002</v>
      </c>
      <c r="C3">
        <v>347199.18</v>
      </c>
      <c r="D3">
        <v>-8.61</v>
      </c>
      <c r="E3">
        <v>7825</v>
      </c>
      <c r="F3">
        <v>-8.64</v>
      </c>
      <c r="G3">
        <v>40268</v>
      </c>
      <c r="H3">
        <v>40.549999999999997</v>
      </c>
      <c r="I3">
        <v>0.02</v>
      </c>
      <c r="J3">
        <v>5.15</v>
      </c>
      <c r="K3">
        <v>0.39</v>
      </c>
      <c r="L3">
        <v>7.88</v>
      </c>
      <c r="M3">
        <v>-0.38</v>
      </c>
      <c r="N3">
        <v>315138.36</v>
      </c>
      <c r="O3">
        <v>2159.35</v>
      </c>
      <c r="P3">
        <v>100.69</v>
      </c>
      <c r="Q3">
        <v>664496.89</v>
      </c>
      <c r="R3">
        <v>663185.89</v>
      </c>
      <c r="S3">
        <v>1311</v>
      </c>
      <c r="T3">
        <v>100.2</v>
      </c>
    </row>
    <row r="4" spans="1:20" x14ac:dyDescent="0.3">
      <c r="A4" t="s">
        <v>18</v>
      </c>
      <c r="B4">
        <v>391277.02</v>
      </c>
      <c r="C4">
        <v>317297.71000000002</v>
      </c>
      <c r="D4">
        <v>23.32</v>
      </c>
      <c r="E4">
        <v>9497</v>
      </c>
      <c r="F4">
        <v>21.37</v>
      </c>
      <c r="G4">
        <v>49001</v>
      </c>
      <c r="H4">
        <v>41.2</v>
      </c>
      <c r="I4">
        <v>1.6</v>
      </c>
      <c r="J4">
        <v>5.16</v>
      </c>
      <c r="K4">
        <v>0.19</v>
      </c>
      <c r="L4">
        <v>7.99</v>
      </c>
      <c r="M4">
        <v>1.4</v>
      </c>
      <c r="N4">
        <v>386010.06</v>
      </c>
      <c r="O4">
        <v>5266.96</v>
      </c>
      <c r="P4">
        <v>101.36</v>
      </c>
      <c r="Q4">
        <v>1055773.9099999999</v>
      </c>
      <c r="R4">
        <v>1049195.95</v>
      </c>
      <c r="S4">
        <v>6577.96</v>
      </c>
      <c r="T4">
        <v>100.63</v>
      </c>
    </row>
    <row r="5" spans="1:20" x14ac:dyDescent="0.3">
      <c r="A5" t="s">
        <v>19</v>
      </c>
      <c r="B5">
        <v>373482.58</v>
      </c>
      <c r="C5">
        <v>391277.02</v>
      </c>
      <c r="D5">
        <v>-4.55</v>
      </c>
      <c r="E5">
        <v>9230</v>
      </c>
      <c r="F5">
        <v>-2.81</v>
      </c>
      <c r="G5">
        <v>47037</v>
      </c>
      <c r="H5">
        <v>40.46</v>
      </c>
      <c r="I5">
        <v>-1.8</v>
      </c>
      <c r="J5">
        <v>5.0999999999999996</v>
      </c>
      <c r="K5">
        <v>-1.1599999999999999</v>
      </c>
      <c r="L5">
        <v>7.94</v>
      </c>
      <c r="M5">
        <v>-0.63</v>
      </c>
      <c r="N5">
        <v>367268.6</v>
      </c>
      <c r="O5">
        <v>6213.98</v>
      </c>
      <c r="P5">
        <v>101.69</v>
      </c>
      <c r="Q5">
        <v>1429256.49</v>
      </c>
      <c r="R5">
        <v>1416464.55</v>
      </c>
      <c r="S5">
        <v>12791.94</v>
      </c>
      <c r="T5">
        <v>100.9</v>
      </c>
    </row>
    <row r="6" spans="1:20" x14ac:dyDescent="0.3">
      <c r="A6" t="s">
        <v>20</v>
      </c>
      <c r="B6">
        <v>387910.67</v>
      </c>
      <c r="C6">
        <v>373482.58</v>
      </c>
      <c r="D6">
        <v>3.86</v>
      </c>
      <c r="E6">
        <v>9571</v>
      </c>
      <c r="F6">
        <v>3.69</v>
      </c>
      <c r="G6">
        <v>49169</v>
      </c>
      <c r="H6">
        <v>40.53</v>
      </c>
      <c r="I6">
        <v>0.17</v>
      </c>
      <c r="J6">
        <v>5.14</v>
      </c>
      <c r="K6">
        <v>0.78</v>
      </c>
      <c r="L6">
        <v>7.89</v>
      </c>
      <c r="M6">
        <v>-0.63</v>
      </c>
      <c r="N6">
        <v>382254.6</v>
      </c>
      <c r="O6">
        <v>5656.07</v>
      </c>
      <c r="P6">
        <v>101.48</v>
      </c>
      <c r="Q6">
        <v>1817167.16</v>
      </c>
      <c r="R6">
        <v>1798719.15</v>
      </c>
      <c r="S6">
        <v>18448.009999999998</v>
      </c>
      <c r="T6">
        <v>101.03</v>
      </c>
    </row>
    <row r="7" spans="1:20" x14ac:dyDescent="0.3">
      <c r="A7" t="s">
        <v>21</v>
      </c>
      <c r="B7">
        <v>376894.58</v>
      </c>
      <c r="C7">
        <v>387910.67</v>
      </c>
      <c r="D7">
        <v>-2.84</v>
      </c>
      <c r="E7">
        <v>9251</v>
      </c>
      <c r="F7">
        <v>-3.34</v>
      </c>
      <c r="G7">
        <v>47633</v>
      </c>
      <c r="H7">
        <v>40.74</v>
      </c>
      <c r="I7">
        <v>0.52</v>
      </c>
      <c r="J7">
        <v>5.15</v>
      </c>
      <c r="K7">
        <v>0.19</v>
      </c>
      <c r="L7">
        <v>7.91</v>
      </c>
      <c r="M7">
        <v>0.25</v>
      </c>
      <c r="N7">
        <v>373757.12</v>
      </c>
      <c r="O7">
        <v>3137.46</v>
      </c>
      <c r="P7">
        <v>100.84</v>
      </c>
      <c r="Q7">
        <v>2194061.7400000002</v>
      </c>
      <c r="R7">
        <v>2172476.27</v>
      </c>
      <c r="S7">
        <v>21585.47</v>
      </c>
      <c r="T7">
        <v>100.99</v>
      </c>
    </row>
    <row r="8" spans="1:20" x14ac:dyDescent="0.3">
      <c r="A8" t="s">
        <v>22</v>
      </c>
      <c r="B8">
        <v>426209.48</v>
      </c>
      <c r="C8">
        <v>376894.58</v>
      </c>
      <c r="D8">
        <v>13.08</v>
      </c>
      <c r="E8">
        <v>10268</v>
      </c>
      <c r="F8">
        <v>10.99</v>
      </c>
      <c r="G8">
        <v>53027</v>
      </c>
      <c r="H8">
        <v>41.51</v>
      </c>
      <c r="I8">
        <v>1.89</v>
      </c>
      <c r="J8">
        <v>5.16</v>
      </c>
      <c r="K8">
        <v>0.19</v>
      </c>
      <c r="L8">
        <v>8.0399999999999991</v>
      </c>
      <c r="M8">
        <v>1.64</v>
      </c>
      <c r="N8">
        <v>424003.06</v>
      </c>
      <c r="O8">
        <v>2206.42</v>
      </c>
      <c r="P8">
        <v>100.52</v>
      </c>
      <c r="Q8">
        <v>2620271.2200000002</v>
      </c>
      <c r="R8">
        <v>2596479.33</v>
      </c>
      <c r="S8">
        <v>23791.89</v>
      </c>
      <c r="T8">
        <v>100.92</v>
      </c>
    </row>
    <row r="9" spans="1:20" x14ac:dyDescent="0.3">
      <c r="A9" t="s">
        <v>23</v>
      </c>
      <c r="B9">
        <v>441528.02</v>
      </c>
      <c r="C9">
        <v>426209.48</v>
      </c>
      <c r="D9">
        <v>3.59</v>
      </c>
      <c r="E9">
        <v>10728</v>
      </c>
      <c r="F9">
        <v>4.4800000000000004</v>
      </c>
      <c r="G9">
        <v>55148</v>
      </c>
      <c r="H9">
        <v>41.16</v>
      </c>
      <c r="I9">
        <v>-0.84</v>
      </c>
      <c r="J9">
        <v>5.14</v>
      </c>
      <c r="K9">
        <v>-0.39</v>
      </c>
      <c r="L9">
        <v>8.01</v>
      </c>
      <c r="M9">
        <v>-0.37</v>
      </c>
      <c r="N9">
        <v>440642.39</v>
      </c>
      <c r="O9">
        <v>885.63</v>
      </c>
      <c r="P9">
        <v>100.2</v>
      </c>
      <c r="Q9">
        <v>3061799.24</v>
      </c>
      <c r="R9">
        <v>3037121.72</v>
      </c>
      <c r="S9">
        <v>24677.52</v>
      </c>
      <c r="T9">
        <v>100.81</v>
      </c>
    </row>
    <row r="10" spans="1:20" x14ac:dyDescent="0.3">
      <c r="A10" t="s">
        <v>24</v>
      </c>
      <c r="B10">
        <v>406552.16</v>
      </c>
      <c r="C10">
        <v>441528.02</v>
      </c>
      <c r="D10">
        <v>-7.92</v>
      </c>
      <c r="E10">
        <v>9926</v>
      </c>
      <c r="F10">
        <v>-7.48</v>
      </c>
      <c r="G10">
        <v>51055</v>
      </c>
      <c r="H10">
        <v>40.96</v>
      </c>
      <c r="I10">
        <v>-0.49</v>
      </c>
      <c r="J10">
        <v>5.14</v>
      </c>
      <c r="K10">
        <v>0</v>
      </c>
      <c r="L10">
        <v>7.96</v>
      </c>
      <c r="M10">
        <v>-0.62</v>
      </c>
      <c r="N10">
        <v>408079.57</v>
      </c>
      <c r="O10">
        <v>-1527.41</v>
      </c>
      <c r="P10">
        <v>99.63</v>
      </c>
      <c r="Q10">
        <v>3468351.4</v>
      </c>
      <c r="R10">
        <v>3445201.29</v>
      </c>
      <c r="S10">
        <v>23150.11</v>
      </c>
      <c r="T10">
        <v>100.67</v>
      </c>
    </row>
    <row r="11" spans="1:20" x14ac:dyDescent="0.3">
      <c r="A11" t="s">
        <v>25</v>
      </c>
      <c r="B11">
        <v>426232.46</v>
      </c>
      <c r="C11">
        <v>406552.16</v>
      </c>
      <c r="D11">
        <v>4.84</v>
      </c>
      <c r="E11">
        <v>10444</v>
      </c>
      <c r="F11">
        <v>5.22</v>
      </c>
      <c r="G11">
        <v>53471</v>
      </c>
      <c r="H11">
        <v>40.81</v>
      </c>
      <c r="I11">
        <v>-0.37</v>
      </c>
      <c r="J11">
        <v>5.12</v>
      </c>
      <c r="K11">
        <v>-0.39</v>
      </c>
      <c r="L11">
        <v>7.97</v>
      </c>
      <c r="M11">
        <v>0.13</v>
      </c>
      <c r="N11">
        <v>426573.75</v>
      </c>
      <c r="O11">
        <v>-341.29</v>
      </c>
      <c r="P11">
        <v>99.92</v>
      </c>
      <c r="Q11">
        <v>3894583.86</v>
      </c>
      <c r="R11">
        <v>3871775.04</v>
      </c>
      <c r="S11">
        <v>22808.82</v>
      </c>
      <c r="T11">
        <v>100.59</v>
      </c>
    </row>
    <row r="12" spans="1:20" x14ac:dyDescent="0.3">
      <c r="A12" t="s">
        <v>26</v>
      </c>
      <c r="B12">
        <v>416804.93</v>
      </c>
      <c r="C12">
        <v>426232.46</v>
      </c>
      <c r="D12">
        <v>-2.21</v>
      </c>
      <c r="E12">
        <v>10110</v>
      </c>
      <c r="F12">
        <v>-3.2</v>
      </c>
      <c r="G12">
        <v>52044</v>
      </c>
      <c r="H12">
        <v>41.23</v>
      </c>
      <c r="I12">
        <v>1.03</v>
      </c>
      <c r="J12">
        <v>5.15</v>
      </c>
      <c r="K12">
        <v>0.59</v>
      </c>
      <c r="L12">
        <v>8.01</v>
      </c>
      <c r="M12">
        <v>0.5</v>
      </c>
      <c r="N12">
        <v>413772.79</v>
      </c>
      <c r="O12">
        <v>3032.14</v>
      </c>
      <c r="P12">
        <v>100.73</v>
      </c>
      <c r="Q12">
        <v>4311388.79</v>
      </c>
      <c r="R12">
        <v>4285547.83</v>
      </c>
      <c r="S12">
        <v>25840.959999999999</v>
      </c>
      <c r="T12">
        <v>100.6</v>
      </c>
    </row>
    <row r="13" spans="1:20" x14ac:dyDescent="0.3">
      <c r="A13" t="s">
        <v>27</v>
      </c>
      <c r="B13">
        <v>433925.11</v>
      </c>
      <c r="C13">
        <v>416804.93</v>
      </c>
      <c r="D13">
        <v>4.1100000000000003</v>
      </c>
      <c r="E13">
        <v>10404</v>
      </c>
      <c r="F13">
        <v>2.91</v>
      </c>
      <c r="G13">
        <v>53757</v>
      </c>
      <c r="H13">
        <v>41.71</v>
      </c>
      <c r="I13">
        <v>1.1599999999999999</v>
      </c>
      <c r="J13">
        <v>5.17</v>
      </c>
      <c r="K13">
        <v>0.39</v>
      </c>
      <c r="L13">
        <v>8.07</v>
      </c>
      <c r="M13">
        <v>0.75</v>
      </c>
      <c r="N13">
        <v>426923.77</v>
      </c>
      <c r="O13">
        <v>7001.34</v>
      </c>
      <c r="P13">
        <v>101.64</v>
      </c>
      <c r="Q13">
        <v>4745313.9000000004</v>
      </c>
      <c r="R13">
        <v>4712471.5999999996</v>
      </c>
      <c r="S13">
        <v>32842.300000000003</v>
      </c>
      <c r="T13">
        <v>100.7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EE4C-438F-4A8F-BD47-D12A859993C6}">
  <dimension ref="A1:A13"/>
  <sheetViews>
    <sheetView workbookViewId="0">
      <selection activeCell="A2" sqref="A2"/>
    </sheetView>
  </sheetViews>
  <sheetFormatPr defaultRowHeight="14.4" x14ac:dyDescent="0.3"/>
  <cols>
    <col min="1" max="1" width="14.88671875" customWidth="1"/>
  </cols>
  <sheetData>
    <row r="1" spans="1:1" x14ac:dyDescent="0.3">
      <c r="A1" s="3" t="s">
        <v>118</v>
      </c>
    </row>
    <row r="2" spans="1:1" x14ac:dyDescent="0.3">
      <c r="A2" s="2">
        <v>45658</v>
      </c>
    </row>
    <row r="3" spans="1:1" x14ac:dyDescent="0.3">
      <c r="A3" s="2">
        <v>45689</v>
      </c>
    </row>
    <row r="4" spans="1:1" x14ac:dyDescent="0.3">
      <c r="A4" s="2">
        <v>45717</v>
      </c>
    </row>
    <row r="5" spans="1:1" x14ac:dyDescent="0.3">
      <c r="A5" s="2">
        <v>45748</v>
      </c>
    </row>
    <row r="6" spans="1:1" x14ac:dyDescent="0.3">
      <c r="A6" s="2">
        <v>45778</v>
      </c>
    </row>
    <row r="7" spans="1:1" x14ac:dyDescent="0.3">
      <c r="A7" s="2">
        <v>45809</v>
      </c>
    </row>
    <row r="8" spans="1:1" x14ac:dyDescent="0.3">
      <c r="A8" s="2">
        <v>45839</v>
      </c>
    </row>
    <row r="9" spans="1:1" x14ac:dyDescent="0.3">
      <c r="A9" s="2">
        <v>45870</v>
      </c>
    </row>
    <row r="10" spans="1:1" x14ac:dyDescent="0.3">
      <c r="A10" s="2">
        <v>45901</v>
      </c>
    </row>
    <row r="11" spans="1:1" x14ac:dyDescent="0.3">
      <c r="A11" s="2">
        <v>45931</v>
      </c>
    </row>
    <row r="12" spans="1:1" x14ac:dyDescent="0.3">
      <c r="A12" s="2">
        <v>45962</v>
      </c>
    </row>
    <row r="13" spans="1:1" x14ac:dyDescent="0.3">
      <c r="A13" s="2">
        <v>45992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8B864-6170-4C77-8AD0-15D93F7AD2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Executive Summary</vt:lpstr>
      <vt:lpstr>Store Performance</vt:lpstr>
      <vt:lpstr>Trading Performance</vt:lpstr>
      <vt:lpstr>tblStoreMonthly</vt:lpstr>
      <vt:lpstr>tblCompanyMonthly</vt:lpstr>
      <vt:lpstr>Data</vt:lpstr>
      <vt:lpstr>AA</vt:lpstr>
      <vt:lpstr>ReportingNames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NNAMDI OPARA</dc:creator>
  <cp:lastModifiedBy>NNAMDI OPARA</cp:lastModifiedBy>
  <dcterms:created xsi:type="dcterms:W3CDTF">2026-09-11T22:13:03Z</dcterms:created>
  <dcterms:modified xsi:type="dcterms:W3CDTF">2026-09-28T10:32:02Z</dcterms:modified>
</cp:coreProperties>
</file>